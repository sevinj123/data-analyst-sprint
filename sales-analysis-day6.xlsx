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user\Documents\ChatGPT\Data analyst\outputs\day6\"/>
    </mc:Choice>
  </mc:AlternateContent>
  <xr:revisionPtr revIDLastSave="0" documentId="13_ncr:1_{2C5BE5E3-E74F-4736-980F-1EDD48812965}" xr6:coauthVersionLast="45" xr6:coauthVersionMax="45" xr10:uidLastSave="{00000000-0000-0000-0000-000000000000}"/>
  <bookViews>
    <workbookView xWindow="-108" yWindow="-108" windowWidth="23256" windowHeight="12576" tabRatio="601" firstSheet="5" activeTab="7" xr2:uid="{1A877181-DF6F-4C01-ACA4-E95507A41ED3}"/>
  </bookViews>
  <sheets>
    <sheet name="QA_Zero_Quantity" sheetId="4" r:id="rId1"/>
    <sheet name="Sales_Analysis" sheetId="6" r:id="rId2"/>
    <sheet name="Clean_Sales" sheetId="3" r:id="rId3"/>
    <sheet name="Raw_Sales" sheetId="2" r:id="rId4"/>
    <sheet name="KPI_Summary" sheetId="7" r:id="rId5"/>
    <sheet name="Product_Summary" sheetId="9" r:id="rId6"/>
    <sheet name="Monthly_Summary" sheetId="8" r:id="rId7"/>
    <sheet name="Dashboard" sheetId="1" r:id="rId8"/>
    <sheet name="README" sheetId="10" r:id="rId9"/>
    <sheet name="Delivery_Message" sheetId="11" r:id="rId10"/>
    <sheet name="Proposal" sheetId="12" r:id="rId11"/>
    <sheet name="QA_Checklist" sheetId="14" r:id="rId12"/>
  </sheets>
  <definedNames>
    <definedName name="_xlcn.WorksheetConnection_salesanalysisday6.xlsxClean_Sales1" hidden="1">Clean_Sales[]</definedName>
    <definedName name="ExternalData_1" localSheetId="3" hidden="1">Raw_Sales!$A$1:$M$613</definedName>
    <definedName name="ExternalData_2" localSheetId="2" hidden="1">Clean_Sales!$A$1:$S$563</definedName>
    <definedName name="ExternalData_4" localSheetId="0" hidden="1">QA_Zero_Quantity!$A$1:$N$8</definedName>
    <definedName name="_xlnm.Print_Area" localSheetId="7">Dashboard!$A$1:$P$41</definedName>
    <definedName name="Slicer_City">#N/A</definedName>
    <definedName name="Slicer_Sales_Channel">#N/A</definedName>
  </definedNames>
  <calcPr calcId="191029"/>
  <pivotCaches>
    <pivotCache cacheId="0" r:id="rId13"/>
    <pivotCache cacheId="1" r:id="rId14"/>
    <pivotCache cacheId="2" r:id="rId15"/>
    <pivotCache cacheId="3" r:id="rId16"/>
    <pivotCache cacheId="12" r:id="rId17"/>
    <pivotCache cacheId="15" r:id="rId18"/>
    <pivotCache cacheId="18" r:id="rId19"/>
    <pivotCache cacheId="21" r:id="rId20"/>
    <pivotCache cacheId="24" r:id="rId21"/>
  </pivotCaches>
  <extLst>
    <ext xmlns:x14="http://schemas.microsoft.com/office/spreadsheetml/2009/9/main" uri="{876F7934-8845-4945-9796-88D515C7AA90}">
      <x14:pivotCaches>
        <pivotCache cacheId="9"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A_Zero_Quantity_d6b2edcf-8a9b-4ce0-b05b-d16169ac5d41" name="QA_Zero_Quantity" connection="Query - QA_Zero_Quantity"/>
          <x15:modelTable id="Clean_Sales" name="Clean_Sales" connection="WorksheetConnection_sales-analysis-day6.xlsx!Clean_Sales"/>
        </x15:modelTables>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 i="3" l="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J5" i="1"/>
  <c r="D5" i="1"/>
  <c r="A5" i="1"/>
  <c r="G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630D88-378D-41FC-BCD4-E3164552BA30}" keepAlive="1" name="ModelConnection_ExternalData_4" description="Data Model" type="5" refreshedVersion="6" minRefreshableVersion="5" saveData="1">
    <dbPr connection="Data Model Connection" command="QA_Zero_Quantity" commandType="3"/>
    <extLst>
      <ext xmlns:x15="http://schemas.microsoft.com/office/spreadsheetml/2010/11/main" uri="{DE250136-89BD-433C-8126-D09CA5730AF9}">
        <x15:connection id="" model="1"/>
      </ext>
    </extLst>
  </connection>
  <connection id="2" xr16:uid="{FCF6BF87-1853-4E0D-BC38-503AA4852EB0}" keepAlive="1" name="Query - Clean_Sales" description="Connection to the 'Clean_Sales' query in the workbook." type="5" refreshedVersion="6" background="1" saveData="1">
    <dbPr connection="Provider=Microsoft.Mashup.OleDb.1;Data Source=$Workbook$;Location=Clean_Sales;Extended Properties=&quot;&quot;" command="SELECT * FROM [Clean_Sales]"/>
  </connection>
  <connection id="3" xr16:uid="{FD5306A4-F648-4869-A483-CD2967661EEE}" name="Query - QA_Zero_Quantity" description="Connection to the 'QA_Zero_Quantity' query in the workbook." type="100" refreshedVersion="6" minRefreshableVersion="5">
    <extLst>
      <ext xmlns:x15="http://schemas.microsoft.com/office/spreadsheetml/2010/11/main" uri="{DE250136-89BD-433C-8126-D09CA5730AF9}">
        <x15:connection id="6550f641-0844-4675-afca-e4523594c896"/>
      </ext>
    </extLst>
  </connection>
  <connection id="4" xr16:uid="{57E96E74-53D3-4AC6-B6A5-9B31A4F9E001}" keepAlive="1" name="Query - Raw_Sales" description="Connection to the 'Raw_Sales' query in the workbook." type="5" refreshedVersion="6" background="1" saveData="1">
    <dbPr connection="Provider=Microsoft.Mashup.OleDb.1;Data Source=$Workbook$;Location=Raw_Sales;Extended Properties=&quot;&quot;" command="SELECT * FROM [Raw_Sales]"/>
  </connection>
  <connection id="5" xr16:uid="{2AAEBDEE-B701-4EF2-8688-0605E2E0F9C5}"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C112F1C-0185-4E1B-B1FC-0B511C93B9F9}" name="WorksheetConnection_sales-analysis-day6.xlsx!Clean_Sales" type="102" refreshedVersion="6" minRefreshableVersion="5">
    <extLst>
      <ext xmlns:x15="http://schemas.microsoft.com/office/spreadsheetml/2010/11/main" uri="{DE250136-89BD-433C-8126-D09CA5730AF9}">
        <x15:connection id="Clean_Sales" autoDelete="1">
          <x15:rangePr sourceName="_xlcn.WorksheetConnection_salesanalysisday6.xlsxClean_Sale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Clean_Sales].[City].[All]}"/>
    <s v="{[Clean_Sales].[City].&amp;[Baku]}"/>
    <s v="{[Clean_Sales].[City].&amp;[Unknown]}"/>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<sst xmlns="http://schemas.openxmlformats.org/spreadsheetml/2006/main" count="12691" uniqueCount="1040">
  <si>
    <t>Order_ID</t>
  </si>
  <si>
    <t>Order_Date</t>
  </si>
  <si>
    <t>Customer_ID</t>
  </si>
  <si>
    <t>City</t>
  </si>
  <si>
    <t>Product_ID</t>
  </si>
  <si>
    <t>Product_Name</t>
  </si>
  <si>
    <t>Category</t>
  </si>
  <si>
    <t>Quantity</t>
  </si>
  <si>
    <t>Unit_Price_AZN</t>
  </si>
  <si>
    <t>Unit_Cost_AZN</t>
  </si>
  <si>
    <t>Discount_Rate</t>
  </si>
  <si>
    <t>Sales_Channel</t>
  </si>
  <si>
    <t>Status</t>
  </si>
  <si>
    <t>S00001</t>
  </si>
  <si>
    <t>27.05.2026</t>
  </si>
  <si>
    <t>C059</t>
  </si>
  <si>
    <t/>
  </si>
  <si>
    <t>P03</t>
  </si>
  <si>
    <t>Mouse</t>
  </si>
  <si>
    <t>accessories</t>
  </si>
  <si>
    <t>0</t>
  </si>
  <si>
    <t>25.00 AZN</t>
  </si>
  <si>
    <t>0%</t>
  </si>
  <si>
    <t>Store</t>
  </si>
  <si>
    <t xml:space="preserve"> completed </t>
  </si>
  <si>
    <t>S00002</t>
  </si>
  <si>
    <t>2026-01-16</t>
  </si>
  <si>
    <t>C048</t>
  </si>
  <si>
    <t>Sumgait</t>
  </si>
  <si>
    <t>P05</t>
  </si>
  <si>
    <t>Desk</t>
  </si>
  <si>
    <t>Furniture</t>
  </si>
  <si>
    <t>2</t>
  </si>
  <si>
    <t>280</t>
  </si>
  <si>
    <t>190</t>
  </si>
  <si>
    <t>0.15</t>
  </si>
  <si>
    <t>Completed</t>
  </si>
  <si>
    <t>S00003</t>
  </si>
  <si>
    <t>2026-02-13</t>
  </si>
  <si>
    <t>C060</t>
  </si>
  <si>
    <t>P01</t>
  </si>
  <si>
    <t>Laptop</t>
  </si>
  <si>
    <t>Electronics</t>
  </si>
  <si>
    <t>6</t>
  </si>
  <si>
    <t>1250</t>
  </si>
  <si>
    <t>940</t>
  </si>
  <si>
    <t>Online</t>
  </si>
  <si>
    <t>S00004</t>
  </si>
  <si>
    <t>2026-02-09</t>
  </si>
  <si>
    <t>C055</t>
  </si>
  <si>
    <t>Ganja</t>
  </si>
  <si>
    <t>P02</t>
  </si>
  <si>
    <t>Monitor</t>
  </si>
  <si>
    <t>7</t>
  </si>
  <si>
    <t>310</t>
  </si>
  <si>
    <t>220</t>
  </si>
  <si>
    <t>S00005</t>
  </si>
  <si>
    <t>2026-03-08</t>
  </si>
  <si>
    <t>C024</t>
  </si>
  <si>
    <t>Lankaran</t>
  </si>
  <si>
    <t>0.05</t>
  </si>
  <si>
    <t>S00006</t>
  </si>
  <si>
    <t>2026-03-05</t>
  </si>
  <si>
    <t>C074</t>
  </si>
  <si>
    <t>P08</t>
  </si>
  <si>
    <t>Printer</t>
  </si>
  <si>
    <t>8</t>
  </si>
  <si>
    <t>360</t>
  </si>
  <si>
    <t>250</t>
  </si>
  <si>
    <t>S00007</t>
  </si>
  <si>
    <t>2026-01-22</t>
  </si>
  <si>
    <t>C087</t>
  </si>
  <si>
    <t>P04</t>
  </si>
  <si>
    <t>Keyboard</t>
  </si>
  <si>
    <t>Accessories</t>
  </si>
  <si>
    <t>65</t>
  </si>
  <si>
    <t>35</t>
  </si>
  <si>
    <t>S00008</t>
  </si>
  <si>
    <t>2026-06-16</t>
  </si>
  <si>
    <t>C068</t>
  </si>
  <si>
    <t>25</t>
  </si>
  <si>
    <t>12</t>
  </si>
  <si>
    <t>S00009</t>
  </si>
  <si>
    <t>2026-03-19</t>
  </si>
  <si>
    <t>C062</t>
  </si>
  <si>
    <t>4</t>
  </si>
  <si>
    <t>S00010</t>
  </si>
  <si>
    <t>2026-06-10</t>
  </si>
  <si>
    <t>C065</t>
  </si>
  <si>
    <t>P07</t>
  </si>
  <si>
    <t>Headphones</t>
  </si>
  <si>
    <t>3</t>
  </si>
  <si>
    <t>85</t>
  </si>
  <si>
    <t>48</t>
  </si>
  <si>
    <t>S00011</t>
  </si>
  <si>
    <t>2026-02-27</t>
  </si>
  <si>
    <t>C009</t>
  </si>
  <si>
    <t>S00012</t>
  </si>
  <si>
    <t>2026-05-31</t>
  </si>
  <si>
    <t>C033</t>
  </si>
  <si>
    <t>S00013</t>
  </si>
  <si>
    <t>2026-06-21</t>
  </si>
  <si>
    <t>C027</t>
  </si>
  <si>
    <t>S00014</t>
  </si>
  <si>
    <t>2026-01-02</t>
  </si>
  <si>
    <t>C067</t>
  </si>
  <si>
    <t>P06</t>
  </si>
  <si>
    <t>Chair</t>
  </si>
  <si>
    <t>115</t>
  </si>
  <si>
    <t>S00015</t>
  </si>
  <si>
    <t>2026-05-02</t>
  </si>
  <si>
    <t>C026</t>
  </si>
  <si>
    <t>S00016</t>
  </si>
  <si>
    <t>2026-03-16</t>
  </si>
  <si>
    <t>0.1</t>
  </si>
  <si>
    <t>S00017</t>
  </si>
  <si>
    <t>2026-01-24</t>
  </si>
  <si>
    <t>C016</t>
  </si>
  <si>
    <t>S00018</t>
  </si>
  <si>
    <t>2026-05-30</t>
  </si>
  <si>
    <t>C021</t>
  </si>
  <si>
    <t>S00019</t>
  </si>
  <si>
    <t>2026-02-20</t>
  </si>
  <si>
    <t>C084</t>
  </si>
  <si>
    <t>Baku</t>
  </si>
  <si>
    <t>S00020</t>
  </si>
  <si>
    <t>2026-06-11</t>
  </si>
  <si>
    <t>5</t>
  </si>
  <si>
    <t>S00021</t>
  </si>
  <si>
    <t>2026-03-27</t>
  </si>
  <si>
    <t>S00022</t>
  </si>
  <si>
    <t>2026-02-03</t>
  </si>
  <si>
    <t>C063</t>
  </si>
  <si>
    <t>S00023</t>
  </si>
  <si>
    <t>2026-04-02</t>
  </si>
  <si>
    <t>S00024</t>
  </si>
  <si>
    <t>2026-02-16</t>
  </si>
  <si>
    <t>C093</t>
  </si>
  <si>
    <t>S00025</t>
  </si>
  <si>
    <t>2026-05-08</t>
  </si>
  <si>
    <t>C090</t>
  </si>
  <si>
    <t>S00026</t>
  </si>
  <si>
    <t>2026-05-10</t>
  </si>
  <si>
    <t>S00027</t>
  </si>
  <si>
    <t>2026-06-26</t>
  </si>
  <si>
    <t>C032</t>
  </si>
  <si>
    <t>S00028</t>
  </si>
  <si>
    <t>2026-02-19</t>
  </si>
  <si>
    <t>C098</t>
  </si>
  <si>
    <t>1</t>
  </si>
  <si>
    <t>S00029</t>
  </si>
  <si>
    <t>2026-06-04</t>
  </si>
  <si>
    <t>C096</t>
  </si>
  <si>
    <t>S00030</t>
  </si>
  <si>
    <t>2026-05-27</t>
  </si>
  <si>
    <t>C031</t>
  </si>
  <si>
    <t xml:space="preserve"> BAKU </t>
  </si>
  <si>
    <t>S00031</t>
  </si>
  <si>
    <t>2026-04-16</t>
  </si>
  <si>
    <t>C042</t>
  </si>
  <si>
    <t>S00032</t>
  </si>
  <si>
    <t>2026-03-24</t>
  </si>
  <si>
    <t>C097</t>
  </si>
  <si>
    <t>S00033</t>
  </si>
  <si>
    <t>S00034</t>
  </si>
  <si>
    <t>2026-04-24</t>
  </si>
  <si>
    <t>C007</t>
  </si>
  <si>
    <t>S00035</t>
  </si>
  <si>
    <t>2026-03-31</t>
  </si>
  <si>
    <t>C028</t>
  </si>
  <si>
    <t>S00036</t>
  </si>
  <si>
    <t>2026-01-19</t>
  </si>
  <si>
    <t>Cancelled</t>
  </si>
  <si>
    <t>S00037</t>
  </si>
  <si>
    <t>2026-02-14</t>
  </si>
  <si>
    <t>C047</t>
  </si>
  <si>
    <t>S00038</t>
  </si>
  <si>
    <t>16.01.2026</t>
  </si>
  <si>
    <t>S00039</t>
  </si>
  <si>
    <t>2026-01-23</t>
  </si>
  <si>
    <t>S00040</t>
  </si>
  <si>
    <t>2026-02-17</t>
  </si>
  <si>
    <t>C056</t>
  </si>
  <si>
    <t>S00041</t>
  </si>
  <si>
    <t>2026-06-02</t>
  </si>
  <si>
    <t>C086</t>
  </si>
  <si>
    <t>S00042</t>
  </si>
  <si>
    <t>2026-06-07</t>
  </si>
  <si>
    <t>electronics</t>
  </si>
  <si>
    <t>S00043</t>
  </si>
  <si>
    <t>2026-02-02</t>
  </si>
  <si>
    <t>C069</t>
  </si>
  <si>
    <t>S00044</t>
  </si>
  <si>
    <t>2026-05-17</t>
  </si>
  <si>
    <t>C091</t>
  </si>
  <si>
    <t>S00045</t>
  </si>
  <si>
    <t>2026-01-11</t>
  </si>
  <si>
    <t>C006</t>
  </si>
  <si>
    <t>S00046</t>
  </si>
  <si>
    <t>2026-03-20</t>
  </si>
  <si>
    <t>S00047</t>
  </si>
  <si>
    <t>2026-04-20</t>
  </si>
  <si>
    <t>C004</t>
  </si>
  <si>
    <t>S00048</t>
  </si>
  <si>
    <t>2026-01-31</t>
  </si>
  <si>
    <t>C071</t>
  </si>
  <si>
    <t>5%</t>
  </si>
  <si>
    <t>S00049</t>
  </si>
  <si>
    <t>S00050</t>
  </si>
  <si>
    <t>2026-01-01</t>
  </si>
  <si>
    <t>S00051</t>
  </si>
  <si>
    <t>C078</t>
  </si>
  <si>
    <t>S00052</t>
  </si>
  <si>
    <t>C073</t>
  </si>
  <si>
    <t>S00053</t>
  </si>
  <si>
    <t>2026-06-20</t>
  </si>
  <si>
    <t>C076</t>
  </si>
  <si>
    <t>S00054</t>
  </si>
  <si>
    <t>2026-04-11</t>
  </si>
  <si>
    <t>85.00 AZN</t>
  </si>
  <si>
    <t>S00055</t>
  </si>
  <si>
    <t>2026-05-14</t>
  </si>
  <si>
    <t>C045</t>
  </si>
  <si>
    <t>S00056</t>
  </si>
  <si>
    <t>2026-06-18</t>
  </si>
  <si>
    <t>S00057</t>
  </si>
  <si>
    <t>2026-01-18</t>
  </si>
  <si>
    <t>C085</t>
  </si>
  <si>
    <t>S00058</t>
  </si>
  <si>
    <t>2026-06-03</t>
  </si>
  <si>
    <t>S00059</t>
  </si>
  <si>
    <t>2026-05-05</t>
  </si>
  <si>
    <t>C003</t>
  </si>
  <si>
    <t xml:space="preserve"> LANKARAN </t>
  </si>
  <si>
    <t>S00060</t>
  </si>
  <si>
    <t>C023</t>
  </si>
  <si>
    <t>S00061</t>
  </si>
  <si>
    <t>2026-05-28</t>
  </si>
  <si>
    <t>C089</t>
  </si>
  <si>
    <t>S00062</t>
  </si>
  <si>
    <t>2026-03-12</t>
  </si>
  <si>
    <t>S00063</t>
  </si>
  <si>
    <t>S00064</t>
  </si>
  <si>
    <t>C099</t>
  </si>
  <si>
    <t>S00065</t>
  </si>
  <si>
    <t>2026-04-01</t>
  </si>
  <si>
    <t>S00066</t>
  </si>
  <si>
    <t>2026-03-25</t>
  </si>
  <si>
    <t>C057</t>
  </si>
  <si>
    <t>S00067</t>
  </si>
  <si>
    <t>2026-03-22</t>
  </si>
  <si>
    <t>C018</t>
  </si>
  <si>
    <t>S00068</t>
  </si>
  <si>
    <t>2026-01-29</t>
  </si>
  <si>
    <t>C053</t>
  </si>
  <si>
    <t>S00069</t>
  </si>
  <si>
    <t>S00070</t>
  </si>
  <si>
    <t>2026-01-21</t>
  </si>
  <si>
    <t>S00071</t>
  </si>
  <si>
    <t>S00072</t>
  </si>
  <si>
    <t>C039</t>
  </si>
  <si>
    <t>S00073</t>
  </si>
  <si>
    <t>2026-05-11</t>
  </si>
  <si>
    <t>C022</t>
  </si>
  <si>
    <t>S00074</t>
  </si>
  <si>
    <t>2026-01-30</t>
  </si>
  <si>
    <t>S00075</t>
  </si>
  <si>
    <t>16.02.2026</t>
  </si>
  <si>
    <t>S00076</t>
  </si>
  <si>
    <t>2026-06-06</t>
  </si>
  <si>
    <t>S00077</t>
  </si>
  <si>
    <t>C082</t>
  </si>
  <si>
    <t>S00078</t>
  </si>
  <si>
    <t>C037</t>
  </si>
  <si>
    <t>S00079</t>
  </si>
  <si>
    <t>S00080</t>
  </si>
  <si>
    <t>2026-04-23</t>
  </si>
  <si>
    <t>S00081</t>
  </si>
  <si>
    <t>2026-02-22</t>
  </si>
  <si>
    <t>C001</t>
  </si>
  <si>
    <t>S00082</t>
  </si>
  <si>
    <t>2026-04-03</t>
  </si>
  <si>
    <t>S00083</t>
  </si>
  <si>
    <t>2026-05-09</t>
  </si>
  <si>
    <t>C034</t>
  </si>
  <si>
    <t>S00084</t>
  </si>
  <si>
    <t>2026-01-05</t>
  </si>
  <si>
    <t>S00085</t>
  </si>
  <si>
    <t>2026-01-28</t>
  </si>
  <si>
    <t>C046</t>
  </si>
  <si>
    <t>S00086</t>
  </si>
  <si>
    <t>S00087</t>
  </si>
  <si>
    <t>2026-06-23</t>
  </si>
  <si>
    <t>C013</t>
  </si>
  <si>
    <t>S00088</t>
  </si>
  <si>
    <t>C079</t>
  </si>
  <si>
    <t>S00089</t>
  </si>
  <si>
    <t>2026-06-27</t>
  </si>
  <si>
    <t>S00090</t>
  </si>
  <si>
    <t>S00091</t>
  </si>
  <si>
    <t>2026-04-28</t>
  </si>
  <si>
    <t>S00092</t>
  </si>
  <si>
    <t>C043</t>
  </si>
  <si>
    <t>S00093</t>
  </si>
  <si>
    <t>2026-01-06</t>
  </si>
  <si>
    <t>C020</t>
  </si>
  <si>
    <t>S00094</t>
  </si>
  <si>
    <t>2026-02-26</t>
  </si>
  <si>
    <t>C044</t>
  </si>
  <si>
    <t>S00095</t>
  </si>
  <si>
    <t>2026-06-15</t>
  </si>
  <si>
    <t>15%</t>
  </si>
  <si>
    <t>S00096</t>
  </si>
  <si>
    <t>2026-03-10</t>
  </si>
  <si>
    <t>S00097</t>
  </si>
  <si>
    <t>C011</t>
  </si>
  <si>
    <t>S00098</t>
  </si>
  <si>
    <t>2026-04-29</t>
  </si>
  <si>
    <t>C080</t>
  </si>
  <si>
    <t>S00099</t>
  </si>
  <si>
    <t>C012</t>
  </si>
  <si>
    <t>S00100</t>
  </si>
  <si>
    <t>C035</t>
  </si>
  <si>
    <t>S00101</t>
  </si>
  <si>
    <t>S00102</t>
  </si>
  <si>
    <t>C041</t>
  </si>
  <si>
    <t>S00103</t>
  </si>
  <si>
    <t>C072</t>
  </si>
  <si>
    <t>S00104</t>
  </si>
  <si>
    <t>2026-01-09</t>
  </si>
  <si>
    <t>S00105</t>
  </si>
  <si>
    <t>C052</t>
  </si>
  <si>
    <t>S00106</t>
  </si>
  <si>
    <t>C066</t>
  </si>
  <si>
    <t>S00107</t>
  </si>
  <si>
    <t>2026-04-22</t>
  </si>
  <si>
    <t>S00108</t>
  </si>
  <si>
    <t>2026-02-11</t>
  </si>
  <si>
    <t>S00109</t>
  </si>
  <si>
    <t>S00110</t>
  </si>
  <si>
    <t>2026-02-24</t>
  </si>
  <si>
    <t>S00111</t>
  </si>
  <si>
    <t>2026-06-22</t>
  </si>
  <si>
    <t>S00112</t>
  </si>
  <si>
    <t>31.05.2026</t>
  </si>
  <si>
    <t>C005</t>
  </si>
  <si>
    <t>S00113</t>
  </si>
  <si>
    <t>2026-03-13</t>
  </si>
  <si>
    <t>S00114</t>
  </si>
  <si>
    <t>2026-03-14</t>
  </si>
  <si>
    <t>S00115</t>
  </si>
  <si>
    <t>S00116</t>
  </si>
  <si>
    <t>S00117</t>
  </si>
  <si>
    <t>S00118</t>
  </si>
  <si>
    <t>S00119</t>
  </si>
  <si>
    <t>2026-02-12</t>
  </si>
  <si>
    <t>C061</t>
  </si>
  <si>
    <t>S00120</t>
  </si>
  <si>
    <t>2026-03-28</t>
  </si>
  <si>
    <t>S00121</t>
  </si>
  <si>
    <t>2026-03-18</t>
  </si>
  <si>
    <t>S00122</t>
  </si>
  <si>
    <t>2026-02-04</t>
  </si>
  <si>
    <t>S00123</t>
  </si>
  <si>
    <t>C025</t>
  </si>
  <si>
    <t>S00124</t>
  </si>
  <si>
    <t>2026-01-04</t>
  </si>
  <si>
    <t>C040</t>
  </si>
  <si>
    <t>furniture</t>
  </si>
  <si>
    <t>S00125</t>
  </si>
  <si>
    <t>2026-04-12</t>
  </si>
  <si>
    <t>C070</t>
  </si>
  <si>
    <t>S00126</t>
  </si>
  <si>
    <t>S00127</t>
  </si>
  <si>
    <t>2026-06-12</t>
  </si>
  <si>
    <t>S00128</t>
  </si>
  <si>
    <t>2026-06-29</t>
  </si>
  <si>
    <t>C049</t>
  </si>
  <si>
    <t>S00129</t>
  </si>
  <si>
    <t>S00130</t>
  </si>
  <si>
    <t>S00131</t>
  </si>
  <si>
    <t>S00132</t>
  </si>
  <si>
    <t>C014</t>
  </si>
  <si>
    <t>S00133</t>
  </si>
  <si>
    <t>2026-03-07</t>
  </si>
  <si>
    <t>S00134</t>
  </si>
  <si>
    <t>2026-03-02</t>
  </si>
  <si>
    <t>S00135</t>
  </si>
  <si>
    <t>S00136</t>
  </si>
  <si>
    <t>S00137</t>
  </si>
  <si>
    <t>C058</t>
  </si>
  <si>
    <t>S00138</t>
  </si>
  <si>
    <t>2026-06-17</t>
  </si>
  <si>
    <t>S00139</t>
  </si>
  <si>
    <t>S00140</t>
  </si>
  <si>
    <t>2026-06-13</t>
  </si>
  <si>
    <t>C017</t>
  </si>
  <si>
    <t>S00141</t>
  </si>
  <si>
    <t>2026-06-24</t>
  </si>
  <si>
    <t>S00142</t>
  </si>
  <si>
    <t>S00143</t>
  </si>
  <si>
    <t>S00144</t>
  </si>
  <si>
    <t>S00145</t>
  </si>
  <si>
    <t>2026-04-21</t>
  </si>
  <si>
    <t>S00146</t>
  </si>
  <si>
    <t>2026-05-15</t>
  </si>
  <si>
    <t xml:space="preserve"> SUMGAIT </t>
  </si>
  <si>
    <t>S00147</t>
  </si>
  <si>
    <t>S00148</t>
  </si>
  <si>
    <t>2026-02-10</t>
  </si>
  <si>
    <t>C015</t>
  </si>
  <si>
    <t>S00149</t>
  </si>
  <si>
    <t>07.01.2026</t>
  </si>
  <si>
    <t>S00150</t>
  </si>
  <si>
    <t>S00151</t>
  </si>
  <si>
    <t>S00152</t>
  </si>
  <si>
    <t>C029</t>
  </si>
  <si>
    <t>S00153</t>
  </si>
  <si>
    <t>2026-03-29</t>
  </si>
  <si>
    <t>S00154</t>
  </si>
  <si>
    <t>2026-04-07</t>
  </si>
  <si>
    <t>S00155</t>
  </si>
  <si>
    <t>2026-04-13</t>
  </si>
  <si>
    <t>S00156</t>
  </si>
  <si>
    <t>2026-06-08</t>
  </si>
  <si>
    <t>C094</t>
  </si>
  <si>
    <t>S00157</t>
  </si>
  <si>
    <t>S00158</t>
  </si>
  <si>
    <t>S00159</t>
  </si>
  <si>
    <t>2026-04-04</t>
  </si>
  <si>
    <t>S00160</t>
  </si>
  <si>
    <t>65.00 AZN</t>
  </si>
  <si>
    <t>S00161</t>
  </si>
  <si>
    <t>2026-05-21</t>
  </si>
  <si>
    <t>S00162</t>
  </si>
  <si>
    <t>2026-03-06</t>
  </si>
  <si>
    <t>S00163</t>
  </si>
  <si>
    <t>S00164</t>
  </si>
  <si>
    <t>2026-06-30</t>
  </si>
  <si>
    <t>S00165</t>
  </si>
  <si>
    <t>2026-03-21</t>
  </si>
  <si>
    <t>S00166</t>
  </si>
  <si>
    <t>S00167</t>
  </si>
  <si>
    <t>S00168</t>
  </si>
  <si>
    <t>S00169</t>
  </si>
  <si>
    <t>2026-05-20</t>
  </si>
  <si>
    <t>C019</t>
  </si>
  <si>
    <t>S00170</t>
  </si>
  <si>
    <t>2026-04-05</t>
  </si>
  <si>
    <t>S00171</t>
  </si>
  <si>
    <t>S00172</t>
  </si>
  <si>
    <t>C081</t>
  </si>
  <si>
    <t>S00173</t>
  </si>
  <si>
    <t>2026-03-03</t>
  </si>
  <si>
    <t>C010</t>
  </si>
  <si>
    <t>S00174</t>
  </si>
  <si>
    <t>2026-06-19</t>
  </si>
  <si>
    <t>S00175</t>
  </si>
  <si>
    <t>S00176</t>
  </si>
  <si>
    <t>S00177</t>
  </si>
  <si>
    <t>S00178</t>
  </si>
  <si>
    <t>2026-04-19</t>
  </si>
  <si>
    <t>C077</t>
  </si>
  <si>
    <t>S00179</t>
  </si>
  <si>
    <t>S00180</t>
  </si>
  <si>
    <t>S00181</t>
  </si>
  <si>
    <t>S00182</t>
  </si>
  <si>
    <t>S00183</t>
  </si>
  <si>
    <t>2026-02-06</t>
  </si>
  <si>
    <t>S00184</t>
  </si>
  <si>
    <t>2026-03-09</t>
  </si>
  <si>
    <t>S00185</t>
  </si>
  <si>
    <t>S00186</t>
  </si>
  <si>
    <t>14.03.2026</t>
  </si>
  <si>
    <t>S00187</t>
  </si>
  <si>
    <t>C030</t>
  </si>
  <si>
    <t>S00188</t>
  </si>
  <si>
    <t>2026-01-26</t>
  </si>
  <si>
    <t>C088</t>
  </si>
  <si>
    <t>S00189</t>
  </si>
  <si>
    <t>2026-05-29</t>
  </si>
  <si>
    <t>C054</t>
  </si>
  <si>
    <t>S00190</t>
  </si>
  <si>
    <t>2026-05-26</t>
  </si>
  <si>
    <t>S00191</t>
  </si>
  <si>
    <t>S00192</t>
  </si>
  <si>
    <t>2026-06-01</t>
  </si>
  <si>
    <t>S00193</t>
  </si>
  <si>
    <t>S00194</t>
  </si>
  <si>
    <t>S00195</t>
  </si>
  <si>
    <t>2026-04-08</t>
  </si>
  <si>
    <t>S00196</t>
  </si>
  <si>
    <t>S00197</t>
  </si>
  <si>
    <t>S00198</t>
  </si>
  <si>
    <t>S00199</t>
  </si>
  <si>
    <t>C036</t>
  </si>
  <si>
    <t>S00200</t>
  </si>
  <si>
    <t>C038</t>
  </si>
  <si>
    <t>S00201</t>
  </si>
  <si>
    <t>S00202</t>
  </si>
  <si>
    <t>2026-05-03</t>
  </si>
  <si>
    <t>S00203</t>
  </si>
  <si>
    <t>S00204</t>
  </si>
  <si>
    <t xml:space="preserve"> GANJA </t>
  </si>
  <si>
    <t>S00205</t>
  </si>
  <si>
    <t>S00206</t>
  </si>
  <si>
    <t>2026-04-14</t>
  </si>
  <si>
    <t>S00207</t>
  </si>
  <si>
    <t>2026-04-27</t>
  </si>
  <si>
    <t>S00208</t>
  </si>
  <si>
    <t>2026-04-26</t>
  </si>
  <si>
    <t>S00209</t>
  </si>
  <si>
    <t>S00210</t>
  </si>
  <si>
    <t>C095</t>
  </si>
  <si>
    <t>S00211</t>
  </si>
  <si>
    <t>S00212</t>
  </si>
  <si>
    <t>2026-06-28</t>
  </si>
  <si>
    <t>S00213</t>
  </si>
  <si>
    <t>S00214</t>
  </si>
  <si>
    <t>S00215</t>
  </si>
  <si>
    <t>2026-01-03</t>
  </si>
  <si>
    <t>S00216</t>
  </si>
  <si>
    <t>S00217</t>
  </si>
  <si>
    <t>S00218</t>
  </si>
  <si>
    <t>2026-06-05</t>
  </si>
  <si>
    <t>S00219</t>
  </si>
  <si>
    <t>S00220</t>
  </si>
  <si>
    <t>S00221</t>
  </si>
  <si>
    <t>C051</t>
  </si>
  <si>
    <t>S00222</t>
  </si>
  <si>
    <t>2026-05-16</t>
  </si>
  <si>
    <t>S00223</t>
  </si>
  <si>
    <t>13.06.2026</t>
  </si>
  <si>
    <t>S00224</t>
  </si>
  <si>
    <t>2026-02-05</t>
  </si>
  <si>
    <t>S00225</t>
  </si>
  <si>
    <t>C092</t>
  </si>
  <si>
    <t>S00226</t>
  </si>
  <si>
    <t>S00227</t>
  </si>
  <si>
    <t>S00228</t>
  </si>
  <si>
    <t>S00229</t>
  </si>
  <si>
    <t>S00230</t>
  </si>
  <si>
    <t>S00231</t>
  </si>
  <si>
    <t>2026-04-06</t>
  </si>
  <si>
    <t>S00232</t>
  </si>
  <si>
    <t>2026-05-23</t>
  </si>
  <si>
    <t>S00233</t>
  </si>
  <si>
    <t>S00234</t>
  </si>
  <si>
    <t>S00235</t>
  </si>
  <si>
    <t>S00236</t>
  </si>
  <si>
    <t>S00237</t>
  </si>
  <si>
    <t>S00238</t>
  </si>
  <si>
    <t>S00239</t>
  </si>
  <si>
    <t>S00240</t>
  </si>
  <si>
    <t>S00241</t>
  </si>
  <si>
    <t>S00242</t>
  </si>
  <si>
    <t>S00243</t>
  </si>
  <si>
    <t>2026-02-23</t>
  </si>
  <si>
    <t>S00244</t>
  </si>
  <si>
    <t>S00245</t>
  </si>
  <si>
    <t>2026-03-23</t>
  </si>
  <si>
    <t>S00246</t>
  </si>
  <si>
    <t>S00247</t>
  </si>
  <si>
    <t>S00248</t>
  </si>
  <si>
    <t>S00249</t>
  </si>
  <si>
    <t>S00250</t>
  </si>
  <si>
    <t>S00251</t>
  </si>
  <si>
    <t>S00252</t>
  </si>
  <si>
    <t>S00253</t>
  </si>
  <si>
    <t>S00254</t>
  </si>
  <si>
    <t>S00255</t>
  </si>
  <si>
    <t>2026-05-24</t>
  </si>
  <si>
    <t>S00256</t>
  </si>
  <si>
    <t>2026-04-18</t>
  </si>
  <si>
    <t>S00257</t>
  </si>
  <si>
    <t>C008</t>
  </si>
  <si>
    <t>S00258</t>
  </si>
  <si>
    <t>2026-01-27</t>
  </si>
  <si>
    <t>S00259</t>
  </si>
  <si>
    <t>C075</t>
  </si>
  <si>
    <t>S00260</t>
  </si>
  <si>
    <t>26.04.2026</t>
  </si>
  <si>
    <t>S00261</t>
  </si>
  <si>
    <t>S00262</t>
  </si>
  <si>
    <t>S00263</t>
  </si>
  <si>
    <t>S00264</t>
  </si>
  <si>
    <t>2026-02-07</t>
  </si>
  <si>
    <t>S00265</t>
  </si>
  <si>
    <t>S00266</t>
  </si>
  <si>
    <t>310.00 AZN</t>
  </si>
  <si>
    <t>S00267</t>
  </si>
  <si>
    <t>2026-05-25</t>
  </si>
  <si>
    <t>S00268</t>
  </si>
  <si>
    <t>S00269</t>
  </si>
  <si>
    <t>S00270</t>
  </si>
  <si>
    <t>S00271</t>
  </si>
  <si>
    <t>S00272</t>
  </si>
  <si>
    <t>S00273</t>
  </si>
  <si>
    <t>2026-05-18</t>
  </si>
  <si>
    <t>S00274</t>
  </si>
  <si>
    <t>S00275</t>
  </si>
  <si>
    <t>2026-01-17</t>
  </si>
  <si>
    <t>S00276</t>
  </si>
  <si>
    <t>S00277</t>
  </si>
  <si>
    <t>S00278</t>
  </si>
  <si>
    <t>S00279</t>
  </si>
  <si>
    <t>S00280</t>
  </si>
  <si>
    <t>2026-01-15</t>
  </si>
  <si>
    <t>S00281</t>
  </si>
  <si>
    <t>S00282</t>
  </si>
  <si>
    <t>C002</t>
  </si>
  <si>
    <t>S00283</t>
  </si>
  <si>
    <t>S00284</t>
  </si>
  <si>
    <t>S00285</t>
  </si>
  <si>
    <t>S00286</t>
  </si>
  <si>
    <t>2026-05-04</t>
  </si>
  <si>
    <t>S00287</t>
  </si>
  <si>
    <t>S00288</t>
  </si>
  <si>
    <t>S00289</t>
  </si>
  <si>
    <t>2026-04-09</t>
  </si>
  <si>
    <t>S00290</t>
  </si>
  <si>
    <t>S00291</t>
  </si>
  <si>
    <t>S00292</t>
  </si>
  <si>
    <t>2026-04-30</t>
  </si>
  <si>
    <t>C100</t>
  </si>
  <si>
    <t>S00293</t>
  </si>
  <si>
    <t>S00294</t>
  </si>
  <si>
    <t>2026-01-08</t>
  </si>
  <si>
    <t>S00295</t>
  </si>
  <si>
    <t>S00296</t>
  </si>
  <si>
    <t>S00297</t>
  </si>
  <si>
    <t>21.01.2026</t>
  </si>
  <si>
    <t>S00298</t>
  </si>
  <si>
    <t>S00299</t>
  </si>
  <si>
    <t>S00300</t>
  </si>
  <si>
    <t>2026-02-01</t>
  </si>
  <si>
    <t>S00301</t>
  </si>
  <si>
    <t>S00302</t>
  </si>
  <si>
    <t>S00303</t>
  </si>
  <si>
    <t>S00304</t>
  </si>
  <si>
    <t>S00305</t>
  </si>
  <si>
    <t>S00306</t>
  </si>
  <si>
    <t>S00307</t>
  </si>
  <si>
    <t>2026-01-10</t>
  </si>
  <si>
    <t>S00308</t>
  </si>
  <si>
    <t>S00309</t>
  </si>
  <si>
    <t>S00310</t>
  </si>
  <si>
    <t>S00311</t>
  </si>
  <si>
    <t>S00312</t>
  </si>
  <si>
    <t>S00313</t>
  </si>
  <si>
    <t>2026-02-21</t>
  </si>
  <si>
    <t>S00314</t>
  </si>
  <si>
    <t>S00315</t>
  </si>
  <si>
    <t>S00316</t>
  </si>
  <si>
    <t>S00317</t>
  </si>
  <si>
    <t>2026-06-09</t>
  </si>
  <si>
    <t>S00318</t>
  </si>
  <si>
    <t>S00319</t>
  </si>
  <si>
    <t>S00320</t>
  </si>
  <si>
    <t>S00321</t>
  </si>
  <si>
    <t>2026-05-07</t>
  </si>
  <si>
    <t>S00322</t>
  </si>
  <si>
    <t>S00323</t>
  </si>
  <si>
    <t>S00324</t>
  </si>
  <si>
    <t>S00325</t>
  </si>
  <si>
    <t>S00326</t>
  </si>
  <si>
    <t>S00327</t>
  </si>
  <si>
    <t>2026-06-14</t>
  </si>
  <si>
    <t>S00328</t>
  </si>
  <si>
    <t>S00329</t>
  </si>
  <si>
    <t>S00330</t>
  </si>
  <si>
    <t>C064</t>
  </si>
  <si>
    <t>S00331</t>
  </si>
  <si>
    <t>S00332</t>
  </si>
  <si>
    <t>S00333</t>
  </si>
  <si>
    <t>S00334</t>
  </si>
  <si>
    <t>08.01.2026</t>
  </si>
  <si>
    <t>C050</t>
  </si>
  <si>
    <t>S00335</t>
  </si>
  <si>
    <t>S00336</t>
  </si>
  <si>
    <t>S00337</t>
  </si>
  <si>
    <t>2026-04-17</t>
  </si>
  <si>
    <t>S00338</t>
  </si>
  <si>
    <t>S00339</t>
  </si>
  <si>
    <t>2026-02-15</t>
  </si>
  <si>
    <t>S00340</t>
  </si>
  <si>
    <t>S00341</t>
  </si>
  <si>
    <t>S00342</t>
  </si>
  <si>
    <t>2026-03-15</t>
  </si>
  <si>
    <t>S00343</t>
  </si>
  <si>
    <t>S00344</t>
  </si>
  <si>
    <t>S00345</t>
  </si>
  <si>
    <t>2026-03-11</t>
  </si>
  <si>
    <t>S00346</t>
  </si>
  <si>
    <t>S00347</t>
  </si>
  <si>
    <t>S00348</t>
  </si>
  <si>
    <t>S00349</t>
  </si>
  <si>
    <t>S00350</t>
  </si>
  <si>
    <t>S00351</t>
  </si>
  <si>
    <t>S00352</t>
  </si>
  <si>
    <t>S00353</t>
  </si>
  <si>
    <t>S00354</t>
  </si>
  <si>
    <t>S00355</t>
  </si>
  <si>
    <t>S00356</t>
  </si>
  <si>
    <t>S00357</t>
  </si>
  <si>
    <t>S00358</t>
  </si>
  <si>
    <t>S00359</t>
  </si>
  <si>
    <t>S00360</t>
  </si>
  <si>
    <t>S00361</t>
  </si>
  <si>
    <t>S00362</t>
  </si>
  <si>
    <t>S00363</t>
  </si>
  <si>
    <t>2026-01-14</t>
  </si>
  <si>
    <t>S00364</t>
  </si>
  <si>
    <t>S00365</t>
  </si>
  <si>
    <t>2026-05-01</t>
  </si>
  <si>
    <t>S00366</t>
  </si>
  <si>
    <t>S00367</t>
  </si>
  <si>
    <t>S00368</t>
  </si>
  <si>
    <t>S00369</t>
  </si>
  <si>
    <t>S00370</t>
  </si>
  <si>
    <t>S00371</t>
  </si>
  <si>
    <t>15.05.2026</t>
  </si>
  <si>
    <t>S00372</t>
  </si>
  <si>
    <t>2026-01-07</t>
  </si>
  <si>
    <t>S00373</t>
  </si>
  <si>
    <t>S00374</t>
  </si>
  <si>
    <t>S00375</t>
  </si>
  <si>
    <t>S00376</t>
  </si>
  <si>
    <t>S00377</t>
  </si>
  <si>
    <t>S00378</t>
  </si>
  <si>
    <t>2026-02-08</t>
  </si>
  <si>
    <t>S00379</t>
  </si>
  <si>
    <t>S00380</t>
  </si>
  <si>
    <t>S00381</t>
  </si>
  <si>
    <t>S00382</t>
  </si>
  <si>
    <t>S00383</t>
  </si>
  <si>
    <t>S00384</t>
  </si>
  <si>
    <t>S00385</t>
  </si>
  <si>
    <t>S00386</t>
  </si>
  <si>
    <t>2026-05-12</t>
  </si>
  <si>
    <t>S00387</t>
  </si>
  <si>
    <t>S00388</t>
  </si>
  <si>
    <t>S00389</t>
  </si>
  <si>
    <t>C083</t>
  </si>
  <si>
    <t>S00390</t>
  </si>
  <si>
    <t>S00391</t>
  </si>
  <si>
    <t>S00392</t>
  </si>
  <si>
    <t>S00393</t>
  </si>
  <si>
    <t>S00394</t>
  </si>
  <si>
    <t>S00395</t>
  </si>
  <si>
    <t>2026-05-19</t>
  </si>
  <si>
    <t>S00396</t>
  </si>
  <si>
    <t>S00397</t>
  </si>
  <si>
    <t>S00398</t>
  </si>
  <si>
    <t>S00399</t>
  </si>
  <si>
    <t>S00400</t>
  </si>
  <si>
    <t>S00401</t>
  </si>
  <si>
    <t>S00402</t>
  </si>
  <si>
    <t>S00403</t>
  </si>
  <si>
    <t>S00404</t>
  </si>
  <si>
    <t>S00405</t>
  </si>
  <si>
    <t>S00406</t>
  </si>
  <si>
    <t>S00407</t>
  </si>
  <si>
    <t>S00408</t>
  </si>
  <si>
    <t>15.01.2026</t>
  </si>
  <si>
    <t>S00409</t>
  </si>
  <si>
    <t>S00410</t>
  </si>
  <si>
    <t>S00411</t>
  </si>
  <si>
    <t>S00412</t>
  </si>
  <si>
    <t>S00413</t>
  </si>
  <si>
    <t>S00414</t>
  </si>
  <si>
    <t>S00415</t>
  </si>
  <si>
    <t>S00416</t>
  </si>
  <si>
    <t>S00417</t>
  </si>
  <si>
    <t>S00418</t>
  </si>
  <si>
    <t>S00419</t>
  </si>
  <si>
    <t>S00420</t>
  </si>
  <si>
    <t>S00421</t>
  </si>
  <si>
    <t>S00422</t>
  </si>
  <si>
    <t>S00423</t>
  </si>
  <si>
    <t>S00424</t>
  </si>
  <si>
    <t>2026-02-28</t>
  </si>
  <si>
    <t>S00425</t>
  </si>
  <si>
    <t>S00426</t>
  </si>
  <si>
    <t>2026-05-06</t>
  </si>
  <si>
    <t>S00427</t>
  </si>
  <si>
    <t>S00428</t>
  </si>
  <si>
    <t>S00429</t>
  </si>
  <si>
    <t>2026-04-10</t>
  </si>
  <si>
    <t>S00430</t>
  </si>
  <si>
    <t>S00431</t>
  </si>
  <si>
    <t>S00432</t>
  </si>
  <si>
    <t>S00433</t>
  </si>
  <si>
    <t>S00434</t>
  </si>
  <si>
    <t>S00435</t>
  </si>
  <si>
    <t>S00436</t>
  </si>
  <si>
    <t>S00437</t>
  </si>
  <si>
    <t>S00438</t>
  </si>
  <si>
    <t>S00439</t>
  </si>
  <si>
    <t>S00440</t>
  </si>
  <si>
    <t>S00441</t>
  </si>
  <si>
    <t>2026-02-18</t>
  </si>
  <si>
    <t>S00442</t>
  </si>
  <si>
    <t>S00443</t>
  </si>
  <si>
    <t>S00444</t>
  </si>
  <si>
    <t>S00445</t>
  </si>
  <si>
    <t>27.06.2026</t>
  </si>
  <si>
    <t>S00446</t>
  </si>
  <si>
    <t>S00447</t>
  </si>
  <si>
    <t>S00448</t>
  </si>
  <si>
    <t>2026-03-01</t>
  </si>
  <si>
    <t>S00449</t>
  </si>
  <si>
    <t>S00450</t>
  </si>
  <si>
    <t>S00451</t>
  </si>
  <si>
    <t>S00452</t>
  </si>
  <si>
    <t>S00453</t>
  </si>
  <si>
    <t>S00454</t>
  </si>
  <si>
    <t>S00455</t>
  </si>
  <si>
    <t>S00456</t>
  </si>
  <si>
    <t>S00457</t>
  </si>
  <si>
    <t>S00458</t>
  </si>
  <si>
    <t>2026-04-15</t>
  </si>
  <si>
    <t>S00459</t>
  </si>
  <si>
    <t>S00460</t>
  </si>
  <si>
    <t>S00461</t>
  </si>
  <si>
    <t>2026-03-17</t>
  </si>
  <si>
    <t>S00462</t>
  </si>
  <si>
    <t>S00463</t>
  </si>
  <si>
    <t>S00464</t>
  </si>
  <si>
    <t>2026-01-20</t>
  </si>
  <si>
    <t>S00465</t>
  </si>
  <si>
    <t>S00466</t>
  </si>
  <si>
    <t>S00467</t>
  </si>
  <si>
    <t>S00468</t>
  </si>
  <si>
    <t>S00469</t>
  </si>
  <si>
    <t>S00470</t>
  </si>
  <si>
    <t>S00471</t>
  </si>
  <si>
    <t>S00472</t>
  </si>
  <si>
    <t>S00473</t>
  </si>
  <si>
    <t>2026-06-25</t>
  </si>
  <si>
    <t>S00474</t>
  </si>
  <si>
    <t>S00475</t>
  </si>
  <si>
    <t>S00476</t>
  </si>
  <si>
    <t>S00477</t>
  </si>
  <si>
    <t>S00478</t>
  </si>
  <si>
    <t>190.00 AZN</t>
  </si>
  <si>
    <t>S00479</t>
  </si>
  <si>
    <t>S00480</t>
  </si>
  <si>
    <t>S00481</t>
  </si>
  <si>
    <t>S00482</t>
  </si>
  <si>
    <t>02.04.2026</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</si>
  <si>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</si>
  <si>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</si>
  <si>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</si>
  <si>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</si>
  <si>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</si>
  <si>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</si>
  <si>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</si>
  <si>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</si>
  <si>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</si>
  <si>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</si>
  <si>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</si>
  <si>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</si>
  <si>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</si>
  <si>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</si>
  <si>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</si>
  <si>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</si>
  <si>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</si>
  <si>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</si>
  <si>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</si>
  <si>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</si>
  <si>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</si>
  <si>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</si>
  <si>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</si>
  <si>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</si>
  <si>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</si>
  <si>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</si>
  <si>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</si>
  <si>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</si>
  <si>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</si>
  <si>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</si>
  <si>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</si>
  <si>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</si>
  <si>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</si>
  <si>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</si>
  <si>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</si>
  <si>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2026-01-25</t>
  </si>
  <si>
    <t>S00518</t>
  </si>
  <si>
    <t>S00519</t>
  </si>
  <si>
    <t>26.03.2026</t>
  </si>
  <si>
    <t>S00520</t>
  </si>
  <si>
    <t>2026-01-12</t>
  </si>
  <si>
    <t>S00521</t>
  </si>
  <si>
    <t>S00522</t>
  </si>
  <si>
    <t>S00523</t>
  </si>
  <si>
    <t>S00524</t>
  </si>
  <si>
    <t>S00525</t>
  </si>
  <si>
    <t>S00526</t>
  </si>
  <si>
    <t>S00527</t>
  </si>
  <si>
    <t>S00528</t>
  </si>
  <si>
    <t>S00529</t>
  </si>
  <si>
    <t>S00530</t>
  </si>
  <si>
    <t>2026-05-13</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</si>
  <si>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</si>
  <si>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</si>
  <si>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</si>
  <si>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</si>
  <si>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</si>
  <si>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</si>
  <si>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</si>
  <si>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</si>
  <si>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</si>
  <si>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</si>
  <si>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</si>
  <si>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</si>
  <si>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</si>
  <si>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</si>
  <si>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</si>
  <si>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</si>
  <si>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</si>
  <si>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</si>
  <si>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</si>
  <si>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</si>
  <si>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</si>
  <si>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</si>
  <si>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</si>
  <si>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</si>
  <si>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</si>
  <si>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2026-01-13</t>
  </si>
  <si>
    <t>S00556</t>
  </si>
  <si>
    <t>30.04.2026</t>
  </si>
  <si>
    <t>S00557</t>
  </si>
  <si>
    <t>S00558</t>
  </si>
  <si>
    <t>S00559</t>
  </si>
  <si>
    <t>S00560</t>
  </si>
  <si>
    <t>S00561</t>
  </si>
  <si>
    <t>2026-03-04</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</si>
  <si>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</si>
  <si>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</si>
  <si>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</si>
  <si>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</si>
  <si>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</si>
  <si>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</si>
  <si>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</si>
  <si>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</si>
  <si>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</si>
  <si>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</si>
  <si>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</si>
  <si>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</si>
  <si>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</si>
  <si>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</si>
  <si>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</si>
  <si>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</si>
  <si>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</si>
  <si>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</si>
  <si>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</si>
  <si>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</si>
  <si>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</si>
  <si>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</si>
  <si>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</si>
  <si>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</si>
  <si>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</si>
  <si>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</si>
  <si>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</si>
  <si>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</si>
  <si>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</si>
  <si>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</si>
  <si>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</si>
  <si>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</si>
  <si>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16.04.2026</t>
  </si>
  <si>
    <t>S00594</t>
  </si>
  <si>
    <t>S00595</t>
  </si>
  <si>
    <t>S00596</t>
  </si>
  <si>
    <t>S00597</t>
  </si>
  <si>
    <t>S00598</t>
  </si>
  <si>
    <t>S00599</t>
  </si>
  <si>
    <t>S00600</t>
  </si>
  <si>
    <t>Unit_Cost_Filled_AZN</t>
  </si>
  <si>
    <t>Revenue_AZN</t>
  </si>
  <si>
    <t>Total_Cost_AZN</t>
  </si>
  <si>
    <t>Gross_Profit_AZN</t>
  </si>
  <si>
    <t>Gross_Margin</t>
  </si>
  <si>
    <t>Unknown</t>
  </si>
  <si>
    <t>Row Labels</t>
  </si>
  <si>
    <t>Grand Total</t>
  </si>
  <si>
    <t>Sum of Gross_Profit_AZN</t>
  </si>
  <si>
    <t>All</t>
  </si>
  <si>
    <t>Column Labels</t>
  </si>
  <si>
    <t>Month</t>
  </si>
  <si>
    <t>Sum of Revenue_AZN</t>
  </si>
  <si>
    <t>Sales Performance Dashboard</t>
  </si>
  <si>
    <t>January–June 2026 | AZN | Synthetic data</t>
  </si>
  <si>
    <t>Revenue</t>
  </si>
  <si>
    <t>Gross Profit</t>
  </si>
  <si>
    <t>Gross Margin</t>
  </si>
  <si>
    <t>Orders</t>
  </si>
  <si>
    <t>Count of Order_ID</t>
  </si>
  <si>
    <t>This practice project uses synthetic sales data for January–June 2026. I cleaned and transformed the raw data into an analysis-ready dataset and built an interactive Excel dashboard. The dashboard compares revenue across cities, products, and sales channels, shows monthly revenue trends, and summarizes gross profit, gross margin, and completed order count.</t>
  </si>
  <si>
    <t>Use the City and Sales Channel slicers to filter the dashboard. The KPIs and charts update together, allowing you to compare product revenue within the selected city and sales channel. Clear both slicer filters to return to the full dataset. Slicers are interactive in the Excel workbook; the PDF is a static snapshot.</t>
  </si>
  <si>
    <t>Project Overview</t>
  </si>
  <si>
    <t>Data Cleaning</t>
  </si>
  <si>
    <t>How to Use</t>
  </si>
  <si>
    <t>Key Findings</t>
  </si>
  <si>
    <t>1.Laptop generated the highest revenue among all products.
2.Sumgait generated the highest revenue among cities, at AZN 207,474.
3.April recorded the highest monthly revenue, at AZN 144,538.25.
4.Total revenue was AZN 726,875.50, with gross profit of AZN 170,378.50 and a gross margin of 23.44%, across 562 completed orders.</t>
  </si>
  <si>
    <t>1.Removed leading and trailing spaces using Trim.  2.Standardized capitalization in city, category, sales channel, and status fields.                                3.Standardized date, numeric, and percentage data types.                                                                          4.Removed “AZN” text from unit prices.                              5. Labeled missing city values as “Unknown”.         6.Filled 7 missing unit costs using product-specific values: P03 = 12, P04 = 35, P06 = 115, and P08 = 250 AZN. This assumes each product’s unit cost remained constant during the period, based on its available records.                                                                            7.Retained 7 zero-quantity records in a separate QA sheet and excluded them from sales KPIs.                         8.Excluded cancelled orders, leaving 562 completed orders with positive quantities for analysis.                     9.Removed 12 duplicate rows.</t>
  </si>
  <si>
    <t>Hello, I have completed the sales analysis practice project using synthetic data. The delivery includes an Excel workbook with raw data, cleaned sales records, a dashboard, QA records, and a README, plus a PDF snapshot. I removed duplicate records, trimmed extra spaces, standardized capitalization, and corrected date and numeric formats. I investigated missing unit costs and filled them using consistent values found in other records for the same products. This assumes that unit costs remained constant during the reporting period. Zero quantity records were retained separately for review and excluded from the analysis, along with cancelled orders. The dashboard summarizes revenue, gross profit, gross margin, and completed orders. It also shows revenue by city, product, and month. Use the City and Sales Channel slicers to explore specific segments, and clear both filters to restore the complete view. Please review the README for cleaning decisions, assumptions, usage instructions, and key findings.</t>
  </si>
  <si>
    <t>Hello, I can clean your sales data and build an interactive Excel dashboard showing revenue by city, product, and month. My portfolio includes a similar practice project using synthetic data, where I standardized dates, removed duplicates, investigated missing values, and documented assumptions. I will review your file before confirming the delivery timeline. Missing values will be completed only when supported by evidence; unresolved issues will be discussed with you. You will receive cleaned data, a dashboard, and a README explaining the changes. Could you share the file, your deadline, and the main business questions you want the dashboard to answer?</t>
  </si>
  <si>
    <t>Check</t>
  </si>
  <si>
    <t>Evidence</t>
  </si>
  <si>
    <t>Raw data preserved</t>
  </si>
  <si>
    <t>PASS</t>
  </si>
  <si>
    <t>Raw_Sales contains 612 rows</t>
  </si>
  <si>
    <t>Duplicate rows removed</t>
  </si>
  <si>
    <t>12 duplicates removed; 600 rows remained</t>
  </si>
  <si>
    <t>Zero-quantity records separated</t>
  </si>
  <si>
    <t>7 records retained in QA_Zero_Quantity</t>
  </si>
  <si>
    <t>Text standardized</t>
  </si>
  <si>
    <t>Extra spaces removed; capitalization standardized</t>
  </si>
  <si>
    <t>Dates converted</t>
  </si>
  <si>
    <t>Date conversion checked; no errors found</t>
  </si>
  <si>
    <t>Numeric types corrected</t>
  </si>
  <si>
    <t>Quantity, prices and costs converted to numeric types</t>
  </si>
  <si>
    <t>Discounts standardized</t>
  </si>
  <si>
    <t>0.15 correctly displayed as 15%</t>
  </si>
  <si>
    <t>Missing cities labeled</t>
  </si>
  <si>
    <t>Blank city values replaced with Unknown</t>
  </si>
  <si>
    <t>Missing costs completed</t>
  </si>
  <si>
    <t>7 values filled using documented product cost assumptions</t>
  </si>
  <si>
    <t>Eligible sales selected</t>
  </si>
  <si>
    <t>562 rows; Completed status and Quantity above zero</t>
  </si>
  <si>
    <t>Calculations checked</t>
  </si>
  <si>
    <t>First eligible row: revenue 476, cost 380, profit 96 AZN</t>
  </si>
  <si>
    <t>Overall margin checked</t>
  </si>
  <si>
    <t>Total gross profit divided by total revenue equals 23.44%</t>
  </si>
  <si>
    <t>Chart totals match KPIs</t>
  </si>
  <si>
    <t>Slicers update all outputs</t>
  </si>
  <si>
    <t>Final files saved and readable</t>
  </si>
  <si>
    <t>Dashboard PDF opens; save and reopen the final Excel workbook</t>
  </si>
  <si>
    <t>City, monthly, and product revenue totals match KPIs. Overall revenue = 726,875.50 AZN; Baku product total = 155,102.25 AZN.</t>
  </si>
  <si>
    <t>KPI, city, monthly, and product outputs respond correctly to slicers; verified with Baku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</si>
</sst>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applyAlignment="1">
      <alignment horizontal="center"/>
    </xf>
    <xf numFmtId="1" fontId="0" fillId="0" borderId="0" xfId="0" applyNumberFormat="1"/>
    <xf numFmtId="0" fontId="0" fillId="0" borderId="0" xfId="0" applyAlignment="1">
      <alignment wrapText="1"/>
    </xf>
    <xf numFmtId="0" fontId="0" fillId="0" borderId="0" xfId="0" applyAlignment="1"/>
    <xf numFmtId="4" fontId="0" fillId="0" borderId="0" xfId="0" applyNumberFormat="1"/>
    <xf numFmtId="0" fontId="2" fillId="0" borderId="0" xfId="0" applyFont="1"/>
    <xf numFmtId="0" fontId="3" fillId="0" borderId="0" xfId="0" applyFont="1"/>
    <xf numFmtId="4" fontId="3" fillId="0" borderId="0" xfId="0" applyNumberFormat="1" applyFont="1"/>
    <xf numFmtId="10" fontId="3" fillId="0" borderId="0" xfId="0" applyNumberFormat="1" applyFont="1" applyAlignment="1"/>
    <xf numFmtId="0" fontId="0" fillId="0" borderId="0" xfId="0" applyAlignment="1">
      <alignment horizontal="left" vertical="center" inden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0" fillId="0" borderId="1" xfId="0" applyBorder="1" applyAlignment="1">
      <alignment horizontal="left" vertical="top" wrapText="1"/>
    </xf>
    <xf numFmtId="0" fontId="0" fillId="0" borderId="1" xfId="0" applyBorder="1" applyAlignment="1">
      <alignment horizontal="left" vertical="center" wrapText="1" indent="1"/>
    </xf>
    <xf numFmtId="0" fontId="0" fillId="0" borderId="1" xfId="0" applyBorder="1" applyAlignment="1">
      <alignment horizontal="left" vertical="top" wrapText="1" indent="1"/>
    </xf>
    <xf numFmtId="0" fontId="1" fillId="0" borderId="0" xfId="0" applyFont="1" applyAlignment="1">
      <alignment horizontal="center" vertical="center" wrapText="1"/>
    </xf>
    <xf numFmtId="0" fontId="0" fillId="0" borderId="0" xfId="0"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horizontal="center" vertical="center"/>
    </xf>
  </cellXfs>
  <cellStyles count="1">
    <cellStyle name="Normal" xfId="0" builtinId="0"/>
  </cellStyles>
  <dxfs count="38">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1" formatCode="0"/>
    </dxf>
    <dxf>
      <numFmt numFmtId="0" formatCode="General"/>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styles" Target="style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[sales-analysis-day6.xlsx]Sales_Analysis!PivotTable7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Sales_Analysis!$C$32</c:f>
              <c:strCache>
                <c:ptCount val="1"/>
                <c:pt idx="0">
                  <c:v>Total</c:v>
                </c:pt>
              </c:strCache>
            </c:strRef>
          </c:tx>
          <c:spPr>
            <a:solidFill>
              <a:schemeClr val="accent1"/>
            </a:solidFill>
            <a:ln>
              <a:noFill/>
            </a:ln>
            <a:effectLst/>
          </c:spPr>
          <c:invertIfNegative val="0"/>
          <c:cat>
            <c:strRef>
              <c:f>Sales_Analysis!$B$33:$B$38</c:f>
              <c:strCache>
                <c:ptCount val="5"/>
                <c:pt idx="0">
                  <c:v>Baku</c:v>
                </c:pt>
                <c:pt idx="1">
                  <c:v>Ganja</c:v>
                </c:pt>
                <c:pt idx="2">
                  <c:v>Lankaran</c:v>
                </c:pt>
                <c:pt idx="3">
                  <c:v>Sumgait</c:v>
                </c:pt>
                <c:pt idx="4">
                  <c:v>Unknown</c:v>
                </c:pt>
              </c:strCache>
            </c:strRef>
          </c:cat>
          <c:val>
            <c:numRef>
              <c:f>Sales_Analysis!$C$33:$C$38</c:f>
              <c:numCache>
                <c:formatCode>General</c:formatCode>
                <c:ptCount val="5"/>
                <c:pt idx="0">
                  <c:v>155102.25</c:v>
                </c:pt>
                <c:pt idx="1">
                  <c:v>179036</c:v>
                </c:pt>
                <c:pt idx="2">
                  <c:v>170635.25</c:v>
                </c:pt>
                <c:pt idx="3">
                  <c:v>207474</c:v>
                </c:pt>
                <c:pt idx="4">
                  <c:v>14628</c:v>
                </c:pt>
              </c:numCache>
            </c:numRef>
          </c:val>
          <c:extLst>
            <c:ext xmlns:c16="http://schemas.microsoft.com/office/drawing/2014/chart" uri="{C3380CC4-5D6E-409C-BE32-E72D297353CC}">
              <c16:uniqueId val="{00000000-F464-48FD-8FB9-5B104F816F93}"/>
            </c:ext>
          </c:extLst>
        </c:ser>
        <c:dLbls>
          <c:showLegendKey val="0"/>
          <c:showVal val="0"/>
          <c:showCatName val="0"/>
          <c:showSerName val="0"/>
          <c:showPercent val="0"/>
          <c:showBubbleSize val="0"/>
        </c:dLbls>
        <c:gapWidth val="182"/>
        <c:axId val="610234783"/>
        <c:axId val="623057103"/>
      </c:barChart>
      <c:catAx>
        <c:axId val="61023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057103"/>
        <c:crosses val="autoZero"/>
        <c:auto val="1"/>
        <c:lblAlgn val="ctr"/>
        <c:lblOffset val="100"/>
        <c:noMultiLvlLbl val="0"/>
      </c:catAx>
      <c:valAx>
        <c:axId val="623057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34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[sales-analysis-day6.xlsx]Monthly_Summary!PivotTable9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Monthly_Summary!$B$3</c:f>
              <c:strCache>
                <c:ptCount val="1"/>
                <c:pt idx="0">
                  <c:v>Total</c:v>
                </c:pt>
              </c:strCache>
            </c:strRef>
          </c:tx>
          <c:spPr>
            <a:ln w="28575" cap="rnd">
              <a:solidFill>
                <a:schemeClr val="accent1"/>
              </a:solidFill>
              <a:round/>
            </a:ln>
            <a:effectLst/>
          </c:spPr>
          <c:marker>
            <c:symbol val="none"/>
          </c:marker>
          <c:cat>
            <c:strRef>
              <c:f>Monthly_Summary!$A$4:$A$10</c:f>
              <c:strCache>
                <c:ptCount val="6"/>
                <c:pt idx="0">
                  <c:v>1</c:v>
                </c:pt>
                <c:pt idx="1">
                  <c:v>2</c:v>
                </c:pt>
                <c:pt idx="2">
                  <c:v>3</c:v>
                </c:pt>
                <c:pt idx="3">
                  <c:v>4</c:v>
                </c:pt>
                <c:pt idx="4">
                  <c:v>5</c:v>
                </c:pt>
                <c:pt idx="5">
                  <c:v>6</c:v>
                </c:pt>
              </c:strCache>
            </c:strRef>
          </c:cat>
          <c:val>
            <c:numRef>
              <c:f>Monthly_Summary!$B$4:$B$10</c:f>
              <c:numCache>
                <c:formatCode>General</c:formatCode>
                <c:ptCount val="6"/>
                <c:pt idx="0">
                  <c:v>118635.25</c:v>
                </c:pt>
                <c:pt idx="1">
                  <c:v>108921.5</c:v>
                </c:pt>
                <c:pt idx="2">
                  <c:v>121816.25</c:v>
                </c:pt>
                <c:pt idx="3">
                  <c:v>144538.25</c:v>
                </c:pt>
                <c:pt idx="4">
                  <c:v>131003.5</c:v>
                </c:pt>
                <c:pt idx="5">
                  <c:v>101960.75</c:v>
                </c:pt>
              </c:numCache>
            </c:numRef>
          </c:val>
          <c:smooth val="0"/>
          <c:extLst>
            <c:ext xmlns:c16="http://schemas.microsoft.com/office/drawing/2014/chart" uri="{C3380CC4-5D6E-409C-BE32-E72D297353CC}">
              <c16:uniqueId val="{00000000-894E-4AB0-8457-5F2C523C5562}"/>
            </c:ext>
          </c:extLst>
        </c:ser>
        <c:dLbls>
          <c:showLegendKey val="0"/>
          <c:showVal val="0"/>
          <c:showCatName val="0"/>
          <c:showSerName val="0"/>
          <c:showPercent val="0"/>
          <c:showBubbleSize val="0"/>
        </c:dLbls>
        <c:smooth val="0"/>
        <c:axId val="623519455"/>
        <c:axId val="723400031"/>
      </c:lineChart>
      <c:catAx>
        <c:axId val="62351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400031"/>
        <c:crosses val="autoZero"/>
        <c:auto val="1"/>
        <c:lblAlgn val="ctr"/>
        <c:lblOffset val="100"/>
        <c:noMultiLvlLbl val="0"/>
      </c:catAx>
      <c:valAx>
        <c:axId val="72340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519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[sales-analysis-day6.xlsx]Product_Summary!PivotTable10</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Product_Summary!$B$3</c:f>
              <c:strCache>
                <c:ptCount val="1"/>
                <c:pt idx="0">
                  <c:v>Total</c:v>
                </c:pt>
              </c:strCache>
            </c:strRef>
          </c:tx>
          <c:spPr>
            <a:solidFill>
              <a:schemeClr val="accent1"/>
            </a:solidFill>
            <a:ln>
              <a:noFill/>
            </a:ln>
            <a:effectLst/>
          </c:spPr>
          <c:invertIfNegative val="0"/>
          <c:cat>
            <c:strRef>
              <c:f>Product_Summary!$A$4:$A$12</c:f>
              <c:strCache>
                <c:ptCount val="8"/>
                <c:pt idx="0">
                  <c:v>Laptop</c:v>
                </c:pt>
                <c:pt idx="1">
                  <c:v>Printer</c:v>
                </c:pt>
                <c:pt idx="2">
                  <c:v>Monitor</c:v>
                </c:pt>
                <c:pt idx="3">
                  <c:v>Desk</c:v>
                </c:pt>
                <c:pt idx="4">
                  <c:v>Chair</c:v>
                </c:pt>
                <c:pt idx="5">
                  <c:v>Headphones</c:v>
                </c:pt>
                <c:pt idx="6">
                  <c:v>Keyboard</c:v>
                </c:pt>
                <c:pt idx="7">
                  <c:v>Mouse</c:v>
                </c:pt>
              </c:strCache>
            </c:strRef>
          </c:cat>
          <c:val>
            <c:numRef>
              <c:f>Product_Summary!$B$4:$B$12</c:f>
              <c:numCache>
                <c:formatCode>General</c:formatCode>
                <c:ptCount val="8"/>
                <c:pt idx="0">
                  <c:v>325687.5</c:v>
                </c:pt>
                <c:pt idx="1">
                  <c:v>125388</c:v>
                </c:pt>
                <c:pt idx="2">
                  <c:v>93201.5</c:v>
                </c:pt>
                <c:pt idx="3">
                  <c:v>78204</c:v>
                </c:pt>
                <c:pt idx="4">
                  <c:v>52934</c:v>
                </c:pt>
                <c:pt idx="5">
                  <c:v>26749.5</c:v>
                </c:pt>
                <c:pt idx="6">
                  <c:v>16406</c:v>
                </c:pt>
                <c:pt idx="7">
                  <c:v>8305</c:v>
                </c:pt>
              </c:numCache>
            </c:numRef>
          </c:val>
          <c:extLst>
            <c:ext xmlns:c16="http://schemas.microsoft.com/office/drawing/2014/chart" uri="{C3380CC4-5D6E-409C-BE32-E72D297353CC}">
              <c16:uniqueId val="{00000000-54D8-486A-9665-D8B31C0863FB}"/>
            </c:ext>
          </c:extLst>
        </c:ser>
        <c:dLbls>
          <c:showLegendKey val="0"/>
          <c:showVal val="0"/>
          <c:showCatName val="0"/>
          <c:showSerName val="0"/>
          <c:showPercent val="0"/>
          <c:showBubbleSize val="0"/>
        </c:dLbls>
        <c:gapWidth val="182"/>
        <c:axId val="623325167"/>
        <c:axId val="723390591"/>
      </c:barChart>
      <c:catAx>
        <c:axId val="6233251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90591"/>
        <c:crosses val="autoZero"/>
        <c:auto val="1"/>
        <c:lblAlgn val="ctr"/>
        <c:lblOffset val="100"/>
        <c:noMultiLvlLbl val="0"/>
      </c:catAx>
      <c:valAx>
        <c:axId val="72339059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2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7</xdr:col>
      <xdr:colOff>392112</xdr:colOff>
      <xdr:row>22</xdr:row>
      <xdr:rowOff>29687</xdr:rowOff>
    </xdr:to>
    <xdr:graphicFrame macro="">
      <xdr:nvGraphicFramePr>
        <xdr:cNvPr id="3" name="Chart 2">
          <a:extLst>
            <a:ext uri="{FF2B5EF4-FFF2-40B4-BE49-F238E27FC236}">
              <a16:creationId xmlns:a16="http://schemas.microsoft.com/office/drawing/2014/main" id="{B0BE4045-EF49-41A2-AD83-8288E21AD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8</xdr:row>
      <xdr:rowOff>0</xdr:rowOff>
    </xdr:from>
    <xdr:to>
      <xdr:col>15</xdr:col>
      <xdr:colOff>304800</xdr:colOff>
      <xdr:row>23</xdr:row>
      <xdr:rowOff>0</xdr:rowOff>
    </xdr:to>
    <xdr:graphicFrame macro="">
      <xdr:nvGraphicFramePr>
        <xdr:cNvPr id="4" name="Chart 3">
          <a:extLst>
            <a:ext uri="{FF2B5EF4-FFF2-40B4-BE49-F238E27FC236}">
              <a16:creationId xmlns:a16="http://schemas.microsoft.com/office/drawing/2014/main" id="{5FFF47E0-599F-4C60-A8C4-36D6CA198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7620</xdr:colOff>
      <xdr:row>23</xdr:row>
      <xdr:rowOff>0</xdr:rowOff>
    </xdr:from>
    <xdr:to>
      <xdr:col>6</xdr:col>
      <xdr:colOff>617220</xdr:colOff>
      <xdr:row>36</xdr:row>
      <xdr:rowOff>89535</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A32B6820-32CB-4F10-9E96-7E7DDC99393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319987" y="4649755"/>
              <a:ext cx="1822580" cy="2515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23</xdr:row>
      <xdr:rowOff>7620</xdr:rowOff>
    </xdr:from>
    <xdr:to>
      <xdr:col>2</xdr:col>
      <xdr:colOff>266700</xdr:colOff>
      <xdr:row>36</xdr:row>
      <xdr:rowOff>97155</xdr:rowOff>
    </xdr:to>
    <mc:AlternateContent xmlns:mc="http://schemas.openxmlformats.org/markup-compatibility/2006" xmlns:a14="http://schemas.microsoft.com/office/drawing/2010/main">
      <mc:Choice Requires="a14">
        <xdr:graphicFrame macro="">
          <xdr:nvGraphicFramePr>
            <xdr:cNvPr id="6" name="Sales_Channel">
              <a:extLst>
                <a:ext uri="{FF2B5EF4-FFF2-40B4-BE49-F238E27FC236}">
                  <a16:creationId xmlns:a16="http://schemas.microsoft.com/office/drawing/2014/main" id="{708F113E-BE8F-4C7A-912A-46B37F23F40D}"/>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99060" y="4657375"/>
              <a:ext cx="1823824" cy="2515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24</xdr:row>
      <xdr:rowOff>0</xdr:rowOff>
    </xdr:from>
    <xdr:to>
      <xdr:col>15</xdr:col>
      <xdr:colOff>304800</xdr:colOff>
      <xdr:row>39</xdr:row>
      <xdr:rowOff>0</xdr:rowOff>
    </xdr:to>
    <xdr:graphicFrame macro="">
      <xdr:nvGraphicFramePr>
        <xdr:cNvPr id="7" name="Chart 6">
          <a:extLst>
            <a:ext uri="{FF2B5EF4-FFF2-40B4-BE49-F238E27FC236}">
              <a16:creationId xmlns:a16="http://schemas.microsoft.com/office/drawing/2014/main" id="{6F11D5EB-CA07-474E-84C5-F13C181C9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vinc" refreshedDate="46278.596754513892" backgroundQuery="1" createdVersion="6" refreshedVersion="6" minRefreshableVersion="3" recordCount="0" supportSubquery="1" supportAdvancedDrill="1" xr:uid="{B6B6CED7-19C6-447F-821C-E1D24DA8D72F}">
  <cacheSource type="external" connectionId="5"/>
  <cacheFields count="3">
    <cacheField name="[Clean_Sales].[Category].[Category]" caption="Category" numFmtId="0" hierarchy="7" level="1">
      <sharedItems count="3">
        <s v="Accessories"/>
        <s v="Electronics"/>
        <s v="Furniture"/>
      </sharedItems>
    </cacheField>
    <cacheField name="[Measures].[Sum of Gross_Profit_AZN]" caption="Sum of Gross_Profit_AZN" numFmtId="0" hierarchy="36" level="32767"/>
    <cacheField name="[Clean_Sales].[Sales_Channel].[Sales_Channel]" caption="Sales_Channel" numFmtId="0" hierarchy="12" level="1">
      <sharedItems count="2">
        <s v="Online"/>
        <s v="Store"/>
      </sharedItems>
    </cacheField>
  </cacheFields>
  <cacheHierarchies count="40">
    <cacheHierarchy uniqueName="[Clean_Sales].[Order_ID]" caption="Order_ID" attribute="1" defaultMemberUniqueName="[Clean_Sales].[Order_ID].[All]" allUniqueName="[Clean_Sales].[Order_ID].[All]" dimensionUniqueName="[Clean_Sales]" displayFolder="" count="0" memberValueDatatype="130" unbalanced="0"/>
    <cacheHierarchy uniqueName="[Clean_Sales].[Month]" caption="Month" attribute="1" defaultMemberUniqueName="[Clean_Sales].[Month].[All]" allUniqueName="[Clean_Sales].[Month].[All]" dimensionUniqueName="[Clean_Sales]" displayFolder="" count="0" memberValueDatatype="20" unbalanced="0"/>
    <cacheHierarchy uniqueName="[Clean_Sales].[Order_Date]" caption="Order_Date" attribute="1" time="1" defaultMemberUniqueName="[Clean_Sales].[Order_Date].[All]" allUniqueName="[Clean_Sales].[Order_Date].[All]" dimensionUniqueName="[Clean_Sales]" displayFolder="" count="0" memberValueDatatype="7" unbalanced="0"/>
    <cacheHierarchy uniqueName="[Clean_Sales].[Customer_ID]" caption="Customer_ID" attribute="1" defaultMemberUniqueName="[Clean_Sales].[Customer_ID].[All]" allUniqueName="[Clean_Sales].[Customer_ID].[All]" dimensionUniqueName="[Clean_Sales]" displayFolder="" count="0" memberValueDatatype="130" unbalanced="0"/>
    <cacheHierarchy uniqueName="[Clean_Sales].[City]" caption="City" attribute="1" defaultMemberUniqueName="[Clean_Sales].[City].[All]" allUniqueName="[Clean_Sales].[City].[All]" dimensionUniqueName="[Clean_Sales]" displayFolder="" count="0" memberValueDatatype="130" unbalanced="0"/>
    <cacheHierarchy uniqueName="[Clean_Sales].[Product_ID]" caption="Product_ID" attribute="1" defaultMemberUniqueName="[Clean_Sales].[Product_ID].[All]" allUniqueName="[Clean_Sales].[Product_ID].[All]" dimensionUniqueName="[Clean_Sales]" displayFolder="" count="0" memberValueDatatype="130" unbalanced="0"/>
    <cacheHierarchy uniqueName="[Clean_Sales].[Product_Name]" caption="Product_Name" attribute="1" defaultMemberUniqueName="[Clean_Sales].[Product_Name].[All]" allUniqueName="[Clean_Sales].[Product_Name].[All]" dimensionUniqueName="[Clean_Sales]" displayFolder="" count="0" memberValueDatatype="130" unbalanced="0"/>
    <cacheHierarchy uniqueName="[Clean_Sales].[Category]" caption="Category" attribute="1" defaultMemberUniqueName="[Clean_Sales].[Category].[All]" allUniqueName="[Clean_Sales].[Category].[All]" dimensionUniqueName="[Clean_Sales]" displayFolder="" count="2" memberValueDatatype="130" unbalanced="0">
      <fieldsUsage count="2">
        <fieldUsage x="-1"/>
        <fieldUsage x="0"/>
      </fieldsUsage>
    </cacheHierarchy>
    <cacheHierarchy uniqueName="[Clean_Sales].[Quantity]" caption="Quantity" attribute="1" defaultMemberUniqueName="[Clean_Sales].[Quantity].[All]" allUniqueName="[Clean_Sales].[Quantity].[All]" dimensionUniqueName="[Clean_Sales]" displayFolder="" count="0" memberValueDatatype="20" unbalanced="0"/>
    <cacheHierarchy uniqueName="[Clean_Sales].[Unit_Price_AZN]" caption="Unit_Price_AZN" attribute="1" defaultMemberUniqueName="[Clean_Sales].[Unit_Price_AZN].[All]" allUniqueName="[Clean_Sales].[Unit_Price_AZN].[All]" dimensionUniqueName="[Clean_Sales]" displayFolder="" count="0" memberValueDatatype="20" unbalanced="0"/>
    <cacheHierarchy uniqueName="[Clean_Sales].[Unit_Cost_AZN]" caption="Unit_Cost_AZN" attribute="1" defaultMemberUniqueName="[Clean_Sales].[Unit_Cost_AZN].[All]" allUniqueName="[Clean_Sales].[Unit_Cost_AZN].[All]" dimensionUniqueName="[Clean_Sales]" displayFolder="" count="0" memberValueDatatype="20" unbalanced="0"/>
    <cacheHierarchy uniqueName="[Clean_Sales].[Discount_Rate]" caption="Discount_Rate" attribute="1" defaultMemberUniqueName="[Clean_Sales].[Discount_Rate].[All]" allUniqueName="[Clean_Sales].[Discount_Rate].[All]" dimensionUniqueName="[Clean_Sales]" displayFolder="" count="0" memberValueDatatype="5" unbalanced="0"/>
    <cacheHierarchy uniqueName="[Clean_Sales].[Sales_Channel]" caption="Sales_Channel" attribute="1" defaultMemberUniqueName="[Clean_Sales].[Sales_Channel].[All]" allUniqueName="[Clean_Sales].[Sales_Channel].[All]" dimensionUniqueName="[Clean_Sales]" displayFolder="" count="2" memberValueDatatype="130" unbalanced="0">
      <fieldsUsage count="2">
        <fieldUsage x="-1"/>
        <fieldUsage x="2"/>
      </fieldsUsage>
    </cacheHierarchy>
    <cacheHierarchy uniqueName="[Clean_Sales].[Status]" caption="Status" attribute="1" defaultMemberUniqueName="[Clean_Sales].[Status].[All]" allUniqueName="[Clean_Sales].[Status].[All]" dimensionUniqueName="[Clean_Sales]" displayFolder="" count="0" memberValueDatatype="130" unbalanced="0"/>
    <cacheHierarchy uniqueName="[Clean_Sales].[Unit_Cost_Filled_AZN]" caption="Unit_Cost_Filled_AZN" attribute="1" defaultMemberUniqueName="[Clean_Sales].[Unit_Cost_Filled_AZN].[All]" allUniqueName="[Clean_Sales].[Unit_Cost_Filled_AZN].[All]" dimensionUniqueName="[Clean_Sales]" displayFolder="" count="0" memberValueDatatype="20" unbalanced="0"/>
    <cacheHierarchy uniqueName="[Clean_Sales].[Revenue_AZN]" caption="Revenue_AZN" attribute="1" defaultMemberUniqueName="[Clean_Sales].[Revenue_AZN].[All]" allUniqueName="[Clean_Sales].[Revenue_AZN].[All]" dimensionUniqueName="[Clean_Sales]" displayFolder="" count="0" memberValueDatatype="5" unbalanced="0"/>
    <cacheHierarchy uniqueName="[Clean_Sales].[Total_Cost_AZN]" caption="Total_Cost_AZN" attribute="1" defaultMemberUniqueName="[Clean_Sales].[Total_Cost_AZN].[All]" allUniqueName="[Clean_Sales].[Total_Cost_AZN].[All]" dimensionUniqueName="[Clean_Sales]" displayFolder="" count="0" memberValueDatatype="20" unbalanced="0"/>
    <cacheHierarchy uniqueName="[Clean_Sales].[Gross_Profit_AZN]" caption="Gross_Profit_AZN" attribute="1" defaultMemberUniqueName="[Clean_Sales].[Gross_Profit_AZN].[All]" allUniqueName="[Clean_Sales].[Gross_Profit_AZN].[All]" dimensionUniqueName="[Clean_Sales]" displayFolder="" count="0" memberValueDatatype="5" unbalanced="0"/>
    <cacheHierarchy uniqueName="[Clean_Sales].[Gross_Margin]" caption="Gross_Margin" attribute="1" defaultMemberUniqueName="[Clean_Sales].[Gross_Margin].[All]" allUniqueName="[Clean_Sales].[Gross_Margin].[All]" dimensionUniqueName="[Clean_Sales]" displayFolder="" count="0" memberValueDatatype="5" unbalanced="0"/>
    <cacheHierarchy uniqueName="[QA_Zero_Quantity].[Order_ID]" caption="Order_ID" attribute="1" defaultMemberUniqueName="[QA_Zero_Quantity].[Order_ID].[All]" allUniqueName="[QA_Zero_Quantity].[Order_ID].[All]" dimensionUniqueName="[QA_Zero_Quantity]" displayFolder="" count="0" memberValueDatatype="130" unbalanced="0"/>
    <cacheHierarchy uniqueName="[QA_Zero_Quantity].[Order_Date]" caption="Order_Date" attribute="1" time="1" defaultMemberUniqueName="[QA_Zero_Quantity].[Order_Date].[All]" allUniqueName="[QA_Zero_Quantity].[Order_Date].[All]" dimensionUniqueName="[QA_Zero_Quantity]" displayFolder="" count="0" memberValueDatatype="7" unbalanced="0"/>
    <cacheHierarchy uniqueName="[QA_Zero_Quantity].[Customer_ID]" caption="Customer_ID" attribute="1" defaultMemberUniqueName="[QA_Zero_Quantity].[Customer_ID].[All]" allUniqueName="[QA_Zero_Quantity].[Customer_ID].[All]" dimensionUniqueName="[QA_Zero_Quantity]" displayFolder="" count="0" memberValueDatatype="130" unbalanced="0"/>
    <cacheHierarchy uniqueName="[QA_Zero_Quantity].[City]" caption="City" attribute="1" defaultMemberUniqueName="[QA_Zero_Quantity].[City].[All]" allUniqueName="[QA_Zero_Quantity].[City].[All]" dimensionUniqueName="[QA_Zero_Quantity]" displayFolder="" count="0" memberValueDatatype="130" unbalanced="0"/>
    <cacheHierarchy uniqueName="[QA_Zero_Quantity].[Product_ID]" caption="Product_ID" attribute="1" defaultMemberUniqueName="[QA_Zero_Quantity].[Product_ID].[All]" allUniqueName="[QA_Zero_Quantity].[Product_ID].[All]" dimensionUniqueName="[QA_Zero_Quantity]" displayFolder="" count="0" memberValueDatatype="130" unbalanced="0"/>
    <cacheHierarchy uniqueName="[QA_Zero_Quantity].[Product_Name]" caption="Product_Name" attribute="1" defaultMemberUniqueName="[QA_Zero_Quantity].[Product_Name].[All]" allUniqueName="[QA_Zero_Quantity].[Product_Name].[All]" dimensionUniqueName="[QA_Zero_Quantity]" displayFolder="" count="0" memberValueDatatype="130" unbalanced="0"/>
    <cacheHierarchy uniqueName="[QA_Zero_Quantity].[Category]" caption="Category" attribute="1" defaultMemberUniqueName="[QA_Zero_Quantity].[Category].[All]" allUniqueName="[QA_Zero_Quantity].[Category].[All]" dimensionUniqueName="[QA_Zero_Quantity]" displayFolder="" count="0" memberValueDatatype="130" unbalanced="0"/>
    <cacheHierarchy uniqueName="[QA_Zero_Quantity].[Quantity]" caption="Quantity" attribute="1" defaultMemberUniqueName="[QA_Zero_Quantity].[Quantity].[All]" allUniqueName="[QA_Zero_Quantity].[Quantity].[All]" dimensionUniqueName="[QA_Zero_Quantity]" displayFolder="" count="0" memberValueDatatype="20" unbalanced="0"/>
    <cacheHierarchy uniqueName="[QA_Zero_Quantity].[Unit_Price_AZN]" caption="Unit_Price_AZN" attribute="1" defaultMemberUniqueName="[QA_Zero_Quantity].[Unit_Price_AZN].[All]" allUniqueName="[QA_Zero_Quantity].[Unit_Price_AZN].[All]" dimensionUniqueName="[QA_Zero_Quantity]" displayFolder="" count="0" memberValueDatatype="5" unbalanced="0"/>
    <cacheHierarchy uniqueName="[QA_Zero_Quantity].[Unit_Cost_AZN]" caption="Unit_Cost_AZN" attribute="1" defaultMemberUniqueName="[QA_Zero_Quantity].[Unit_Cost_AZN].[All]" allUniqueName="[QA_Zero_Quantity].[Unit_Cost_AZN].[All]" dimensionUniqueName="[QA_Zero_Quantity]" displayFolder="" count="0" memberValueDatatype="5" unbalanced="0"/>
    <cacheHierarchy uniqueName="[QA_Zero_Quantity].[Discount_Rate]" caption="Discount_Rate" attribute="1" defaultMemberUniqueName="[QA_Zero_Quantity].[Discount_Rate].[All]" allUniqueName="[QA_Zero_Quantity].[Discount_Rate].[All]" dimensionUniqueName="[QA_Zero_Quantity]" displayFolder="" count="0" memberValueDatatype="5" unbalanced="0"/>
    <cacheHierarchy uniqueName="[QA_Zero_Quantity].[Sales_Channel]" caption="Sales_Channel" attribute="1" defaultMemberUniqueName="[QA_Zero_Quantity].[Sales_Channel].[All]" allUniqueName="[QA_Zero_Quantity].[Sales_Channel].[All]" dimensionUniqueName="[QA_Zero_Quantity]" displayFolder="" count="0" memberValueDatatype="130" unbalanced="0"/>
    <cacheHierarchy uniqueName="[QA_Zero_Quantity].[Status]" caption="Status" attribute="1" defaultMemberUniqueName="[QA_Zero_Quantity].[Status].[All]" allUniqueName="[QA_Zero_Quantity].[Status].[All]" dimensionUniqueName="[QA_Zero_Quantity]" displayFolder="" count="0" memberValueDatatype="130" unbalanced="0"/>
    <cacheHierarchy uniqueName="[QA_Zero_Quantity].[Unit_Cost_Filled_AZN]" caption="Unit_Cost_Filled_AZN" attribute="1" defaultMemberUniqueName="[QA_Zero_Quantity].[Unit_Cost_Filled_AZN].[All]" allUniqueName="[QA_Zero_Quantity].[Unit_Cost_Filled_AZN].[All]" dimensionUniqueName="[QA_Zero_Quantity]" displayFolder="" count="0" memberValueDatatype="5" unbalanced="0"/>
    <cacheHierarchy uniqueName="[Measures].[__XL_Count QA_Zero_Quantity]" caption="__XL_Count QA_Zero_Quantity" measure="1" displayFolder="" measureGroup="QA_Zero_Quantity" count="0" hidden="1"/>
    <cacheHierarchy uniqueName="[Measures].[__XL_Count Clean_Sales]" caption="__XL_Count Clean_Sales" measure="1" displayFolder="" measureGroup="Clean_Sales" count="0" hidden="1"/>
    <cacheHierarchy uniqueName="[Measures].[__No measures defined]" caption="__No measures defined" measure="1" displayFolder="" count="0" hidden="1"/>
    <cacheHierarchy uniqueName="[Measures].[Sum of Gross_Profit_AZN]" caption="Sum of Gross_Profit_AZN" measure="1" displayFolder="" measureGroup="Clean_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ross_Profit_AZN]" caption="Count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Sum of Revenue_AZN]" caption="Sum of Revenue_AZN" measure="1" displayFolder="" measureGroup="Clean_Sale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Clean_Sales" count="0" hidden="1">
      <extLst>
        <ext xmlns:x15="http://schemas.microsoft.com/office/spreadsheetml/2010/11/main" uri="{B97F6D7D-B522-45F9-BDA1-12C45D357490}">
          <x15:cacheHierarchy aggregatedColumn="0"/>
        </ext>
      </extLst>
    </cacheHierarchy>
  </cacheHierarchies>
  <kpis count="0"/>
  <dimensions count="3">
    <dimension name="Clean_Sales" uniqueName="[Clean_Sales]" caption="Clean_Sales"/>
    <dimension measure="1" name="Measures" uniqueName="[Measures]" caption="Measures"/>
    <dimension name="QA_Zero_Quantity" uniqueName="[QA_Zero_Quantity]" caption="QA_Zero_Quantity"/>
  </dimensions>
  <measureGroups count="2">
    <measureGroup name="Clean_Sales" caption="Clean_Sales"/>
    <measureGroup name="QA_Zero_Quantity" caption="QA_Zero_Quantity"/>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vinc" refreshedDate="46278.542013310187" backgroundQuery="1" createdVersion="6" refreshedVersion="6" minRefreshableVersion="3" recordCount="0" supportSubquery="1" supportAdvancedDrill="1" xr:uid="{E06854F2-1495-484D-BA0C-38802205E2E8}">
  <cacheSource type="external" connectionId="5"/>
  <cacheFields count="3">
    <cacheField name="[Clean_Sales].[Category].[Category]" caption="Category" numFmtId="0" hierarchy="7" level="1">
      <sharedItems count="3">
        <s v="Accessories"/>
        <s v="Electronics"/>
        <s v="Furniture"/>
      </sharedItems>
    </cacheField>
    <cacheField name="[Measures].[Sum of Gross_Profit_AZN]" caption="Sum of Gross_Profit_AZN" numFmtId="0" hierarchy="36" level="32767"/>
    <cacheField name="[Clean_Sales].[City].[City]" caption="City" numFmtId="0" hierarchy="4" level="1">
      <sharedItems containsSemiMixedTypes="0" containsNonDate="0" containsString="0"/>
    </cacheField>
  </cacheFields>
  <cacheHierarchies count="40">
    <cacheHierarchy uniqueName="[Clean_Sales].[Order_ID]" caption="Order_ID" attribute="1" defaultMemberUniqueName="[Clean_Sales].[Order_ID].[All]" allUniqueName="[Clean_Sales].[Order_ID].[All]" dimensionUniqueName="[Clean_Sales]" displayFolder="" count="0" memberValueDatatype="130" unbalanced="0"/>
    <cacheHierarchy uniqueName="[Clean_Sales].[Month]" caption="Month" attribute="1" defaultMemberUniqueName="[Clean_Sales].[Month].[All]" allUniqueName="[Clean_Sales].[Month].[All]" dimensionUniqueName="[Clean_Sales]" displayFolder="" count="0" memberValueDatatype="20" unbalanced="0"/>
    <cacheHierarchy uniqueName="[Clean_Sales].[Order_Date]" caption="Order_Date" attribute="1" time="1" defaultMemberUniqueName="[Clean_Sales].[Order_Date].[All]" allUniqueName="[Clean_Sales].[Order_Date].[All]" dimensionUniqueName="[Clean_Sales]" displayFolder="" count="0" memberValueDatatype="7" unbalanced="0"/>
    <cacheHierarchy uniqueName="[Clean_Sales].[Customer_ID]" caption="Customer_ID" attribute="1" defaultMemberUniqueName="[Clean_Sales].[Customer_ID].[All]" allUniqueName="[Clean_Sales].[Customer_ID].[All]" dimensionUniqueName="[Clean_Sales]" displayFolder="" count="0" memberValueDatatype="130" unbalanced="0"/>
    <cacheHierarchy uniqueName="[Clean_Sales].[City]" caption="City" attribute="1" defaultMemberUniqueName="[Clean_Sales].[City].[All]" allUniqueName="[Clean_Sales].[City].[All]" dimensionUniqueName="[Clean_Sales]" displayFolder="" count="2" memberValueDatatype="130" unbalanced="0">
      <fieldsUsage count="2">
        <fieldUsage x="-1"/>
        <fieldUsage x="2"/>
      </fieldsUsage>
    </cacheHierarchy>
    <cacheHierarchy uniqueName="[Clean_Sales].[Product_ID]" caption="Product_ID" attribute="1" defaultMemberUniqueName="[Clean_Sales].[Product_ID].[All]" allUniqueName="[Clean_Sales].[Product_ID].[All]" dimensionUniqueName="[Clean_Sales]" displayFolder="" count="0" memberValueDatatype="130" unbalanced="0"/>
    <cacheHierarchy uniqueName="[Clean_Sales].[Product_Name]" caption="Product_Name" attribute="1" defaultMemberUniqueName="[Clean_Sales].[Product_Name].[All]" allUniqueName="[Clean_Sales].[Product_Name].[All]" dimensionUniqueName="[Clean_Sales]" displayFolder="" count="0" memberValueDatatype="130" unbalanced="0"/>
    <cacheHierarchy uniqueName="[Clean_Sales].[Category]" caption="Category" attribute="1" defaultMemberUniqueName="[Clean_Sales].[Category].[All]" allUniqueName="[Clean_Sales].[Category].[All]" dimensionUniqueName="[Clean_Sales]" displayFolder="" count="2" memberValueDatatype="130" unbalanced="0">
      <fieldsUsage count="2">
        <fieldUsage x="-1"/>
        <fieldUsage x="0"/>
      </fieldsUsage>
    </cacheHierarchy>
    <cacheHierarchy uniqueName="[Clean_Sales].[Quantity]" caption="Quantity" attribute="1" defaultMemberUniqueName="[Clean_Sales].[Quantity].[All]" allUniqueName="[Clean_Sales].[Quantity].[All]" dimensionUniqueName="[Clean_Sales]" displayFolder="" count="0" memberValueDatatype="20" unbalanced="0"/>
    <cacheHierarchy uniqueName="[Clean_Sales].[Unit_Price_AZN]" caption="Unit_Price_AZN" attribute="1" defaultMemberUniqueName="[Clean_Sales].[Unit_Price_AZN].[All]" allUniqueName="[Clean_Sales].[Unit_Price_AZN].[All]" dimensionUniqueName="[Clean_Sales]" displayFolder="" count="0" memberValueDatatype="20" unbalanced="0"/>
    <cacheHierarchy uniqueName="[Clean_Sales].[Unit_Cost_AZN]" caption="Unit_Cost_AZN" attribute="1" defaultMemberUniqueName="[Clean_Sales].[Unit_Cost_AZN].[All]" allUniqueName="[Clean_Sales].[Unit_Cost_AZN].[All]" dimensionUniqueName="[Clean_Sales]" displayFolder="" count="0" memberValueDatatype="20" unbalanced="0"/>
    <cacheHierarchy uniqueName="[Clean_Sales].[Discount_Rate]" caption="Discount_Rate" attribute="1" defaultMemberUniqueName="[Clean_Sales].[Discount_Rate].[All]" allUniqueName="[Clean_Sales].[Discount_Rate].[All]" dimensionUniqueName="[Clean_Sales]" displayFolder="" count="0" memberValueDatatype="5" unbalanced="0"/>
    <cacheHierarchy uniqueName="[Clean_Sales].[Sales_Channel]" caption="Sales_Channel" attribute="1" defaultMemberUniqueName="[Clean_Sales].[Sales_Channel].[All]" allUniqueName="[Clean_Sales].[Sales_Channel].[All]" dimensionUniqueName="[Clean_Sales]" displayFolder="" count="0" memberValueDatatype="130" unbalanced="0"/>
    <cacheHierarchy uniqueName="[Clean_Sales].[Status]" caption="Status" attribute="1" defaultMemberUniqueName="[Clean_Sales].[Status].[All]" allUniqueName="[Clean_Sales].[Status].[All]" dimensionUniqueName="[Clean_Sales]" displayFolder="" count="0" memberValueDatatype="130" unbalanced="0"/>
    <cacheHierarchy uniqueName="[Clean_Sales].[Unit_Cost_Filled_AZN]" caption="Unit_Cost_Filled_AZN" attribute="1" defaultMemberUniqueName="[Clean_Sales].[Unit_Cost_Filled_AZN].[All]" allUniqueName="[Clean_Sales].[Unit_Cost_Filled_AZN].[All]" dimensionUniqueName="[Clean_Sales]" displayFolder="" count="0" memberValueDatatype="20" unbalanced="0"/>
    <cacheHierarchy uniqueName="[Clean_Sales].[Revenue_AZN]" caption="Revenue_AZN" attribute="1" defaultMemberUniqueName="[Clean_Sales].[Revenue_AZN].[All]" allUniqueName="[Clean_Sales].[Revenue_AZN].[All]" dimensionUniqueName="[Clean_Sales]" displayFolder="" count="0" memberValueDatatype="5" unbalanced="0"/>
    <cacheHierarchy uniqueName="[Clean_Sales].[Total_Cost_AZN]" caption="Total_Cost_AZN" attribute="1" defaultMemberUniqueName="[Clean_Sales].[Total_Cost_AZN].[All]" allUniqueName="[Clean_Sales].[Total_Cost_AZN].[All]" dimensionUniqueName="[Clean_Sales]" displayFolder="" count="0" memberValueDatatype="20" unbalanced="0"/>
    <cacheHierarchy uniqueName="[Clean_Sales].[Gross_Profit_AZN]" caption="Gross_Profit_AZN" attribute="1" defaultMemberUniqueName="[Clean_Sales].[Gross_Profit_AZN].[All]" allUniqueName="[Clean_Sales].[Gross_Profit_AZN].[All]" dimensionUniqueName="[Clean_Sales]" displayFolder="" count="0" memberValueDatatype="5" unbalanced="0"/>
    <cacheHierarchy uniqueName="[Clean_Sales].[Gross_Margin]" caption="Gross_Margin" attribute="1" defaultMemberUniqueName="[Clean_Sales].[Gross_Margin].[All]" allUniqueName="[Clean_Sales].[Gross_Margin].[All]" dimensionUniqueName="[Clean_Sales]" displayFolder="" count="0" memberValueDatatype="5" unbalanced="0"/>
    <cacheHierarchy uniqueName="[QA_Zero_Quantity].[Order_ID]" caption="Order_ID" attribute="1" defaultMemberUniqueName="[QA_Zero_Quantity].[Order_ID].[All]" allUniqueName="[QA_Zero_Quantity].[Order_ID].[All]" dimensionUniqueName="[QA_Zero_Quantity]" displayFolder="" count="0" memberValueDatatype="130" unbalanced="0"/>
    <cacheHierarchy uniqueName="[QA_Zero_Quantity].[Order_Date]" caption="Order_Date" attribute="1" time="1" defaultMemberUniqueName="[QA_Zero_Quantity].[Order_Date].[All]" allUniqueName="[QA_Zero_Quantity].[Order_Date].[All]" dimensionUniqueName="[QA_Zero_Quantity]" displayFolder="" count="0" memberValueDatatype="7" unbalanced="0"/>
    <cacheHierarchy uniqueName="[QA_Zero_Quantity].[Customer_ID]" caption="Customer_ID" attribute="1" defaultMemberUniqueName="[QA_Zero_Quantity].[Customer_ID].[All]" allUniqueName="[QA_Zero_Quantity].[Customer_ID].[All]" dimensionUniqueName="[QA_Zero_Quantity]" displayFolder="" count="0" memberValueDatatype="130" unbalanced="0"/>
    <cacheHierarchy uniqueName="[QA_Zero_Quantity].[City]" caption="City" attribute="1" defaultMemberUniqueName="[QA_Zero_Quantity].[City].[All]" allUniqueName="[QA_Zero_Quantity].[City].[All]" dimensionUniqueName="[QA_Zero_Quantity]" displayFolder="" count="0" memberValueDatatype="130" unbalanced="0"/>
    <cacheHierarchy uniqueName="[QA_Zero_Quantity].[Product_ID]" caption="Product_ID" attribute="1" defaultMemberUniqueName="[QA_Zero_Quantity].[Product_ID].[All]" allUniqueName="[QA_Zero_Quantity].[Product_ID].[All]" dimensionUniqueName="[QA_Zero_Quantity]" displayFolder="" count="0" memberValueDatatype="130" unbalanced="0"/>
    <cacheHierarchy uniqueName="[QA_Zero_Quantity].[Product_Name]" caption="Product_Name" attribute="1" defaultMemberUniqueName="[QA_Zero_Quantity].[Product_Name].[All]" allUniqueName="[QA_Zero_Quantity].[Product_Name].[All]" dimensionUniqueName="[QA_Zero_Quantity]" displayFolder="" count="0" memberValueDatatype="130" unbalanced="0"/>
    <cacheHierarchy uniqueName="[QA_Zero_Quantity].[Category]" caption="Category" attribute="1" defaultMemberUniqueName="[QA_Zero_Quantity].[Category].[All]" allUniqueName="[QA_Zero_Quantity].[Category].[All]" dimensionUniqueName="[QA_Zero_Quantity]" displayFolder="" count="0" memberValueDatatype="130" unbalanced="0"/>
    <cacheHierarchy uniqueName="[QA_Zero_Quantity].[Quantity]" caption="Quantity" attribute="1" defaultMemberUniqueName="[QA_Zero_Quantity].[Quantity].[All]" allUniqueName="[QA_Zero_Quantity].[Quantity].[All]" dimensionUniqueName="[QA_Zero_Quantity]" displayFolder="" count="0" memberValueDatatype="20" unbalanced="0"/>
    <cacheHierarchy uniqueName="[QA_Zero_Quantity].[Unit_Price_AZN]" caption="Unit_Price_AZN" attribute="1" defaultMemberUniqueName="[QA_Zero_Quantity].[Unit_Price_AZN].[All]" allUniqueName="[QA_Zero_Quantity].[Unit_Price_AZN].[All]" dimensionUniqueName="[QA_Zero_Quantity]" displayFolder="" count="0" memberValueDatatype="5" unbalanced="0"/>
    <cacheHierarchy uniqueName="[QA_Zero_Quantity].[Unit_Cost_AZN]" caption="Unit_Cost_AZN" attribute="1" defaultMemberUniqueName="[QA_Zero_Quantity].[Unit_Cost_AZN].[All]" allUniqueName="[QA_Zero_Quantity].[Unit_Cost_AZN].[All]" dimensionUniqueName="[QA_Zero_Quantity]" displayFolder="" count="0" memberValueDatatype="5" unbalanced="0"/>
    <cacheHierarchy uniqueName="[QA_Zero_Quantity].[Discount_Rate]" caption="Discount_Rate" attribute="1" defaultMemberUniqueName="[QA_Zero_Quantity].[Discount_Rate].[All]" allUniqueName="[QA_Zero_Quantity].[Discount_Rate].[All]" dimensionUniqueName="[QA_Zero_Quantity]" displayFolder="" count="0" memberValueDatatype="5" unbalanced="0"/>
    <cacheHierarchy uniqueName="[QA_Zero_Quantity].[Sales_Channel]" caption="Sales_Channel" attribute="1" defaultMemberUniqueName="[QA_Zero_Quantity].[Sales_Channel].[All]" allUniqueName="[QA_Zero_Quantity].[Sales_Channel].[All]" dimensionUniqueName="[QA_Zero_Quantity]" displayFolder="" count="0" memberValueDatatype="130" unbalanced="0"/>
    <cacheHierarchy uniqueName="[QA_Zero_Quantity].[Status]" caption="Status" attribute="1" defaultMemberUniqueName="[QA_Zero_Quantity].[Status].[All]" allUniqueName="[QA_Zero_Quantity].[Status].[All]" dimensionUniqueName="[QA_Zero_Quantity]" displayFolder="" count="0" memberValueDatatype="130" unbalanced="0"/>
    <cacheHierarchy uniqueName="[QA_Zero_Quantity].[Unit_Cost_Filled_AZN]" caption="Unit_Cost_Filled_AZN" attribute="1" defaultMemberUniqueName="[QA_Zero_Quantity].[Unit_Cost_Filled_AZN].[All]" allUniqueName="[QA_Zero_Quantity].[Unit_Cost_Filled_AZN].[All]" dimensionUniqueName="[QA_Zero_Quantity]" displayFolder="" count="0" memberValueDatatype="5" unbalanced="0"/>
    <cacheHierarchy uniqueName="[Measures].[__XL_Count QA_Zero_Quantity]" caption="__XL_Count QA_Zero_Quantity" measure="1" displayFolder="" measureGroup="QA_Zero_Quantity" count="0" hidden="1"/>
    <cacheHierarchy uniqueName="[Measures].[__XL_Count Clean_Sales]" caption="__XL_Count Clean_Sales" measure="1" displayFolder="" measureGroup="Clean_Sales" count="0" hidden="1"/>
    <cacheHierarchy uniqueName="[Measures].[__No measures defined]" caption="__No measures defined" measure="1" displayFolder="" count="0" hidden="1"/>
    <cacheHierarchy uniqueName="[Measures].[Sum of Gross_Profit_AZN]" caption="Sum of Gross_Profit_AZN" measure="1" displayFolder="" measureGroup="Clean_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ross_Profit_AZN]" caption="Count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Sum of Revenue_AZN]" caption="Sum of Revenue_AZN" measure="1" displayFolder="" measureGroup="Clean_Sale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Clean_Sales" count="0" hidden="1">
      <extLst>
        <ext xmlns:x15="http://schemas.microsoft.com/office/spreadsheetml/2010/11/main" uri="{B97F6D7D-B522-45F9-BDA1-12C45D357490}">
          <x15:cacheHierarchy aggregatedColumn="0"/>
        </ext>
      </extLst>
    </cacheHierarchy>
  </cacheHierarchies>
  <kpis count="0"/>
  <dimensions count="3">
    <dimension name="Clean_Sales" uniqueName="[Clean_Sales]" caption="Clean_Sales"/>
    <dimension measure="1" name="Measures" uniqueName="[Measures]" caption="Measures"/>
    <dimension name="QA_Zero_Quantity" uniqueName="[QA_Zero_Quantity]" caption="QA_Zero_Quantity"/>
  </dimensions>
  <measureGroups count="2">
    <measureGroup name="Clean_Sales" caption="Clean_Sales"/>
    <measureGroup name="QA_Zero_Quantity" caption="QA_Zero_Quantity"/>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vinc" refreshedDate="46278.541153472223" backgroundQuery="1" createdVersion="6" refreshedVersion="6" minRefreshableVersion="3" recordCount="0" supportSubquery="1" supportAdvancedDrill="1" xr:uid="{34EB2D6B-6D6F-4667-AA4B-E54598BA9A03}">
  <cacheSource type="external" connectionId="5"/>
  <cacheFields count="4">
    <cacheField name="[Clean_Sales].[Category].[Category]" caption="Category" numFmtId="0" hierarchy="7" level="1">
      <sharedItems count="3">
        <s v="Accessories"/>
        <s v="Electronics"/>
        <s v="Furniture"/>
      </sharedItems>
    </cacheField>
    <cacheField name="[Measures].[Sum of Gross_Profit_AZN]" caption="Sum of Gross_Profit_AZN" numFmtId="0" hierarchy="36" level="32767"/>
    <cacheField name="[Clean_Sales].[Month].[Month]" caption="Month" numFmtId="0" hierarchy="1"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lean_Sales].[Month].&amp;[1]"/>
            <x15:cachedUniqueName index="1" name="[Clean_Sales].[Month].&amp;[2]"/>
            <x15:cachedUniqueName index="2" name="[Clean_Sales].[Month].&amp;[3]"/>
            <x15:cachedUniqueName index="3" name="[Clean_Sales].[Month].&amp;[4]"/>
            <x15:cachedUniqueName index="4" name="[Clean_Sales].[Month].&amp;[5]"/>
          </x15:cachedUniqueNames>
        </ext>
      </extLst>
    </cacheField>
    <cacheField name="[Clean_Sales].[City].[City]" caption="City" numFmtId="0" hierarchy="4" level="1">
      <sharedItems containsSemiMixedTypes="0" containsNonDate="0" containsString="0"/>
    </cacheField>
  </cacheFields>
  <cacheHierarchies count="40">
    <cacheHierarchy uniqueName="[Clean_Sales].[Order_ID]" caption="Order_ID" attribute="1" defaultMemberUniqueName="[Clean_Sales].[Order_ID].[All]" allUniqueName="[Clean_Sales].[Order_ID].[All]" dimensionUniqueName="[Clean_Sales]" displayFolder="" count="0" memberValueDatatype="130" unbalanced="0"/>
    <cacheHierarchy uniqueName="[Clean_Sales].[Month]" caption="Month" attribute="1" defaultMemberUniqueName="[Clean_Sales].[Month].[All]" allUniqueName="[Clean_Sales].[Month].[All]" dimensionUniqueName="[Clean_Sales]" displayFolder="" count="2" memberValueDatatype="20" unbalanced="0">
      <fieldsUsage count="2">
        <fieldUsage x="-1"/>
        <fieldUsage x="2"/>
      </fieldsUsage>
    </cacheHierarchy>
    <cacheHierarchy uniqueName="[Clean_Sales].[Order_Date]" caption="Order_Date" attribute="1" time="1" defaultMemberUniqueName="[Clean_Sales].[Order_Date].[All]" allUniqueName="[Clean_Sales].[Order_Date].[All]" dimensionUniqueName="[Clean_Sales]" displayFolder="" count="0" memberValueDatatype="7" unbalanced="0"/>
    <cacheHierarchy uniqueName="[Clean_Sales].[Customer_ID]" caption="Customer_ID" attribute="1" defaultMemberUniqueName="[Clean_Sales].[Customer_ID].[All]" allUniqueName="[Clean_Sales].[Customer_ID].[All]" dimensionUniqueName="[Clean_Sales]" displayFolder="" count="0" memberValueDatatype="130" unbalanced="0"/>
    <cacheHierarchy uniqueName="[Clean_Sales].[City]" caption="City" attribute="1" defaultMemberUniqueName="[Clean_Sales].[City].[All]" allUniqueName="[Clean_Sales].[City].[All]" dimensionUniqueName="[Clean_Sales]" displayFolder="" count="2" memberValueDatatype="130" unbalanced="0">
      <fieldsUsage count="2">
        <fieldUsage x="-1"/>
        <fieldUsage x="3"/>
      </fieldsUsage>
    </cacheHierarchy>
    <cacheHierarchy uniqueName="[Clean_Sales].[Product_ID]" caption="Product_ID" attribute="1" defaultMemberUniqueName="[Clean_Sales].[Product_ID].[All]" allUniqueName="[Clean_Sales].[Product_ID].[All]" dimensionUniqueName="[Clean_Sales]" displayFolder="" count="0" memberValueDatatype="130" unbalanced="0"/>
    <cacheHierarchy uniqueName="[Clean_Sales].[Product_Name]" caption="Product_Name" attribute="1" defaultMemberUniqueName="[Clean_Sales].[Product_Name].[All]" allUniqueName="[Clean_Sales].[Product_Name].[All]" dimensionUniqueName="[Clean_Sales]" displayFolder="" count="0" memberValueDatatype="130" unbalanced="0"/>
    <cacheHierarchy uniqueName="[Clean_Sales].[Category]" caption="Category" attribute="1" defaultMemberUniqueName="[Clean_Sales].[Category].[All]" allUniqueName="[Clean_Sales].[Category].[All]" dimensionUniqueName="[Clean_Sales]" displayFolder="" count="2" memberValueDatatype="130" unbalanced="0">
      <fieldsUsage count="2">
        <fieldUsage x="-1"/>
        <fieldUsage x="0"/>
      </fieldsUsage>
    </cacheHierarchy>
    <cacheHierarchy uniqueName="[Clean_Sales].[Quantity]" caption="Quantity" attribute="1" defaultMemberUniqueName="[Clean_Sales].[Quantity].[All]" allUniqueName="[Clean_Sales].[Quantity].[All]" dimensionUniqueName="[Clean_Sales]" displayFolder="" count="0" memberValueDatatype="20" unbalanced="0"/>
    <cacheHierarchy uniqueName="[Clean_Sales].[Unit_Price_AZN]" caption="Unit_Price_AZN" attribute="1" defaultMemberUniqueName="[Clean_Sales].[Unit_Price_AZN].[All]" allUniqueName="[Clean_Sales].[Unit_Price_AZN].[All]" dimensionUniqueName="[Clean_Sales]" displayFolder="" count="0" memberValueDatatype="20" unbalanced="0"/>
    <cacheHierarchy uniqueName="[Clean_Sales].[Unit_Cost_AZN]" caption="Unit_Cost_AZN" attribute="1" defaultMemberUniqueName="[Clean_Sales].[Unit_Cost_AZN].[All]" allUniqueName="[Clean_Sales].[Unit_Cost_AZN].[All]" dimensionUniqueName="[Clean_Sales]" displayFolder="" count="0" memberValueDatatype="20" unbalanced="0"/>
    <cacheHierarchy uniqueName="[Clean_Sales].[Discount_Rate]" caption="Discount_Rate" attribute="1" defaultMemberUniqueName="[Clean_Sales].[Discount_Rate].[All]" allUniqueName="[Clean_Sales].[Discount_Rate].[All]" dimensionUniqueName="[Clean_Sales]" displayFolder="" count="0" memberValueDatatype="5" unbalanced="0"/>
    <cacheHierarchy uniqueName="[Clean_Sales].[Sales_Channel]" caption="Sales_Channel" attribute="1" defaultMemberUniqueName="[Clean_Sales].[Sales_Channel].[All]" allUniqueName="[Clean_Sales].[Sales_Channel].[All]" dimensionUniqueName="[Clean_Sales]" displayFolder="" count="0" memberValueDatatype="130" unbalanced="0"/>
    <cacheHierarchy uniqueName="[Clean_Sales].[Status]" caption="Status" attribute="1" defaultMemberUniqueName="[Clean_Sales].[Status].[All]" allUniqueName="[Clean_Sales].[Status].[All]" dimensionUniqueName="[Clean_Sales]" displayFolder="" count="0" memberValueDatatype="130" unbalanced="0"/>
    <cacheHierarchy uniqueName="[Clean_Sales].[Unit_Cost_Filled_AZN]" caption="Unit_Cost_Filled_AZN" attribute="1" defaultMemberUniqueName="[Clean_Sales].[Unit_Cost_Filled_AZN].[All]" allUniqueName="[Clean_Sales].[Unit_Cost_Filled_AZN].[All]" dimensionUniqueName="[Clean_Sales]" displayFolder="" count="0" memberValueDatatype="20" unbalanced="0"/>
    <cacheHierarchy uniqueName="[Clean_Sales].[Revenue_AZN]" caption="Revenue_AZN" attribute="1" defaultMemberUniqueName="[Clean_Sales].[Revenue_AZN].[All]" allUniqueName="[Clean_Sales].[Revenue_AZN].[All]" dimensionUniqueName="[Clean_Sales]" displayFolder="" count="0" memberValueDatatype="5" unbalanced="0"/>
    <cacheHierarchy uniqueName="[Clean_Sales].[Total_Cost_AZN]" caption="Total_Cost_AZN" attribute="1" defaultMemberUniqueName="[Clean_Sales].[Total_Cost_AZN].[All]" allUniqueName="[Clean_Sales].[Total_Cost_AZN].[All]" dimensionUniqueName="[Clean_Sales]" displayFolder="" count="0" memberValueDatatype="20" unbalanced="0"/>
    <cacheHierarchy uniqueName="[Clean_Sales].[Gross_Profit_AZN]" caption="Gross_Profit_AZN" attribute="1" defaultMemberUniqueName="[Clean_Sales].[Gross_Profit_AZN].[All]" allUniqueName="[Clean_Sales].[Gross_Profit_AZN].[All]" dimensionUniqueName="[Clean_Sales]" displayFolder="" count="0" memberValueDatatype="5" unbalanced="0"/>
    <cacheHierarchy uniqueName="[Clean_Sales].[Gross_Margin]" caption="Gross_Margin" attribute="1" defaultMemberUniqueName="[Clean_Sales].[Gross_Margin].[All]" allUniqueName="[Clean_Sales].[Gross_Margin].[All]" dimensionUniqueName="[Clean_Sales]" displayFolder="" count="0" memberValueDatatype="5" unbalanced="0"/>
    <cacheHierarchy uniqueName="[QA_Zero_Quantity].[Order_ID]" caption="Order_ID" attribute="1" defaultMemberUniqueName="[QA_Zero_Quantity].[Order_ID].[All]" allUniqueName="[QA_Zero_Quantity].[Order_ID].[All]" dimensionUniqueName="[QA_Zero_Quantity]" displayFolder="" count="0" memberValueDatatype="130" unbalanced="0"/>
    <cacheHierarchy uniqueName="[QA_Zero_Quantity].[Order_Date]" caption="Order_Date" attribute="1" time="1" defaultMemberUniqueName="[QA_Zero_Quantity].[Order_Date].[All]" allUniqueName="[QA_Zero_Quantity].[Order_Date].[All]" dimensionUniqueName="[QA_Zero_Quantity]" displayFolder="" count="0" memberValueDatatype="7" unbalanced="0"/>
    <cacheHierarchy uniqueName="[QA_Zero_Quantity].[Customer_ID]" caption="Customer_ID" attribute="1" defaultMemberUniqueName="[QA_Zero_Quantity].[Customer_ID].[All]" allUniqueName="[QA_Zero_Quantity].[Customer_ID].[All]" dimensionUniqueName="[QA_Zero_Quantity]" displayFolder="" count="0" memberValueDatatype="130" unbalanced="0"/>
    <cacheHierarchy uniqueName="[QA_Zero_Quantity].[City]" caption="City" attribute="1" defaultMemberUniqueName="[QA_Zero_Quantity].[City].[All]" allUniqueName="[QA_Zero_Quantity].[City].[All]" dimensionUniqueName="[QA_Zero_Quantity]" displayFolder="" count="0" memberValueDatatype="130" unbalanced="0"/>
    <cacheHierarchy uniqueName="[QA_Zero_Quantity].[Product_ID]" caption="Product_ID" attribute="1" defaultMemberUniqueName="[QA_Zero_Quantity].[Product_ID].[All]" allUniqueName="[QA_Zero_Quantity].[Product_ID].[All]" dimensionUniqueName="[QA_Zero_Quantity]" displayFolder="" count="0" memberValueDatatype="130" unbalanced="0"/>
    <cacheHierarchy uniqueName="[QA_Zero_Quantity].[Product_Name]" caption="Product_Name" attribute="1" defaultMemberUniqueName="[QA_Zero_Quantity].[Product_Name].[All]" allUniqueName="[QA_Zero_Quantity].[Product_Name].[All]" dimensionUniqueName="[QA_Zero_Quantity]" displayFolder="" count="0" memberValueDatatype="130" unbalanced="0"/>
    <cacheHierarchy uniqueName="[QA_Zero_Quantity].[Category]" caption="Category" attribute="1" defaultMemberUniqueName="[QA_Zero_Quantity].[Category].[All]" allUniqueName="[QA_Zero_Quantity].[Category].[All]" dimensionUniqueName="[QA_Zero_Quantity]" displayFolder="" count="0" memberValueDatatype="130" unbalanced="0"/>
    <cacheHierarchy uniqueName="[QA_Zero_Quantity].[Quantity]" caption="Quantity" attribute="1" defaultMemberUniqueName="[QA_Zero_Quantity].[Quantity].[All]" allUniqueName="[QA_Zero_Quantity].[Quantity].[All]" dimensionUniqueName="[QA_Zero_Quantity]" displayFolder="" count="0" memberValueDatatype="20" unbalanced="0"/>
    <cacheHierarchy uniqueName="[QA_Zero_Quantity].[Unit_Price_AZN]" caption="Unit_Price_AZN" attribute="1" defaultMemberUniqueName="[QA_Zero_Quantity].[Unit_Price_AZN].[All]" allUniqueName="[QA_Zero_Quantity].[Unit_Price_AZN].[All]" dimensionUniqueName="[QA_Zero_Quantity]" displayFolder="" count="0" memberValueDatatype="5" unbalanced="0"/>
    <cacheHierarchy uniqueName="[QA_Zero_Quantity].[Unit_Cost_AZN]" caption="Unit_Cost_AZN" attribute="1" defaultMemberUniqueName="[QA_Zero_Quantity].[Unit_Cost_AZN].[All]" allUniqueName="[QA_Zero_Quantity].[Unit_Cost_AZN].[All]" dimensionUniqueName="[QA_Zero_Quantity]" displayFolder="" count="0" memberValueDatatype="5" unbalanced="0"/>
    <cacheHierarchy uniqueName="[QA_Zero_Quantity].[Discount_Rate]" caption="Discount_Rate" attribute="1" defaultMemberUniqueName="[QA_Zero_Quantity].[Discount_Rate].[All]" allUniqueName="[QA_Zero_Quantity].[Discount_Rate].[All]" dimensionUniqueName="[QA_Zero_Quantity]" displayFolder="" count="0" memberValueDatatype="5" unbalanced="0"/>
    <cacheHierarchy uniqueName="[QA_Zero_Quantity].[Sales_Channel]" caption="Sales_Channel" attribute="1" defaultMemberUniqueName="[QA_Zero_Quantity].[Sales_Channel].[All]" allUniqueName="[QA_Zero_Quantity].[Sales_Channel].[All]" dimensionUniqueName="[QA_Zero_Quantity]" displayFolder="" count="0" memberValueDatatype="130" unbalanced="0"/>
    <cacheHierarchy uniqueName="[QA_Zero_Quantity].[Status]" caption="Status" attribute="1" defaultMemberUniqueName="[QA_Zero_Quantity].[Status].[All]" allUniqueName="[QA_Zero_Quantity].[Status].[All]" dimensionUniqueName="[QA_Zero_Quantity]" displayFolder="" count="0" memberValueDatatype="130" unbalanced="0"/>
    <cacheHierarchy uniqueName="[QA_Zero_Quantity].[Unit_Cost_Filled_AZN]" caption="Unit_Cost_Filled_AZN" attribute="1" defaultMemberUniqueName="[QA_Zero_Quantity].[Unit_Cost_Filled_AZN].[All]" allUniqueName="[QA_Zero_Quantity].[Unit_Cost_Filled_AZN].[All]" dimensionUniqueName="[QA_Zero_Quantity]" displayFolder="" count="0" memberValueDatatype="5" unbalanced="0"/>
    <cacheHierarchy uniqueName="[Measures].[__XL_Count QA_Zero_Quantity]" caption="__XL_Count QA_Zero_Quantity" measure="1" displayFolder="" measureGroup="QA_Zero_Quantity" count="0" hidden="1"/>
    <cacheHierarchy uniqueName="[Measures].[__XL_Count Clean_Sales]" caption="__XL_Count Clean_Sales" measure="1" displayFolder="" measureGroup="Clean_Sales" count="0" hidden="1"/>
    <cacheHierarchy uniqueName="[Measures].[__No measures defined]" caption="__No measures defined" measure="1" displayFolder="" count="0" hidden="1"/>
    <cacheHierarchy uniqueName="[Measures].[Sum of Gross_Profit_AZN]" caption="Sum of Gross_Profit_AZN" measure="1" displayFolder="" measureGroup="Clean_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ross_Profit_AZN]" caption="Count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Sum of Revenue_AZN]" caption="Sum of Revenue_AZN" measure="1" displayFolder="" measureGroup="Clean_Sale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Clean_Sales" count="0" hidden="1">
      <extLst>
        <ext xmlns:x15="http://schemas.microsoft.com/office/spreadsheetml/2010/11/main" uri="{B97F6D7D-B522-45F9-BDA1-12C45D357490}">
          <x15:cacheHierarchy aggregatedColumn="0"/>
        </ext>
      </extLst>
    </cacheHierarchy>
  </cacheHierarchies>
  <kpis count="0"/>
  <dimensions count="3">
    <dimension name="Clean_Sales" uniqueName="[Clean_Sales]" caption="Clean_Sales"/>
    <dimension measure="1" name="Measures" uniqueName="[Measures]" caption="Measures"/>
    <dimension name="QA_Zero_Quantity" uniqueName="[QA_Zero_Quantity]" caption="QA_Zero_Quantity"/>
  </dimensions>
  <measureGroups count="2">
    <measureGroup name="Clean_Sales" caption="Clean_Sales"/>
    <measureGroup name="QA_Zero_Quantity" caption="QA_Zero_Quantity"/>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vinc" refreshedDate="46278.541028819447" backgroundQuery="1" createdVersion="6" refreshedVersion="6" minRefreshableVersion="3" recordCount="0" supportSubquery="1" supportAdvancedDrill="1" xr:uid="{7A00D3A6-9264-4F12-A8BB-F72F24D4B954}">
  <cacheSource type="external" connectionId="5"/>
  <cacheFields count="4">
    <cacheField name="[Clean_Sales].[Category].[Category]" caption="Category" numFmtId="0" hierarchy="7" level="1">
      <sharedItems count="3">
        <s v="Accessories"/>
        <s v="Electronics"/>
        <s v="Furniture"/>
      </sharedItems>
    </cacheField>
    <cacheField name="[Measures].[Sum of Gross_Profit_AZN]" caption="Sum of Gross_Profit_AZN" numFmtId="0" hierarchy="36" level="32767"/>
    <cacheField name="[Clean_Sales].[Month].[Month]" caption="Month" numFmtId="0" hierarchy="1"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Clean_Sales].[Month].&amp;[1]"/>
            <x15:cachedUniqueName index="1" name="[Clean_Sales].[Month].&amp;[2]"/>
            <x15:cachedUniqueName index="2" name="[Clean_Sales].[Month].&amp;[3]"/>
            <x15:cachedUniqueName index="3" name="[Clean_Sales].[Month].&amp;[4]"/>
            <x15:cachedUniqueName index="4" name="[Clean_Sales].[Month].&amp;[5]"/>
            <x15:cachedUniqueName index="5" name="[Clean_Sales].[Month].&amp;[6]"/>
          </x15:cachedUniqueNames>
        </ext>
      </extLst>
    </cacheField>
    <cacheField name="[Clean_Sales].[City].[City]" caption="City" numFmtId="0" hierarchy="4" level="1">
      <sharedItems containsSemiMixedTypes="0" containsNonDate="0" containsString="0"/>
    </cacheField>
  </cacheFields>
  <cacheHierarchies count="40">
    <cacheHierarchy uniqueName="[Clean_Sales].[Order_ID]" caption="Order_ID" attribute="1" defaultMemberUniqueName="[Clean_Sales].[Order_ID].[All]" allUniqueName="[Clean_Sales].[Order_ID].[All]" dimensionUniqueName="[Clean_Sales]" displayFolder="" count="0" memberValueDatatype="130" unbalanced="0"/>
    <cacheHierarchy uniqueName="[Clean_Sales].[Month]" caption="Month" attribute="1" defaultMemberUniqueName="[Clean_Sales].[Month].[All]" allUniqueName="[Clean_Sales].[Month].[All]" dimensionUniqueName="[Clean_Sales]" displayFolder="" count="2" memberValueDatatype="20" unbalanced="0">
      <fieldsUsage count="2">
        <fieldUsage x="-1"/>
        <fieldUsage x="2"/>
      </fieldsUsage>
    </cacheHierarchy>
    <cacheHierarchy uniqueName="[Clean_Sales].[Order_Date]" caption="Order_Date" attribute="1" time="1" defaultMemberUniqueName="[Clean_Sales].[Order_Date].[All]" allUniqueName="[Clean_Sales].[Order_Date].[All]" dimensionUniqueName="[Clean_Sales]" displayFolder="" count="0" memberValueDatatype="7" unbalanced="0"/>
    <cacheHierarchy uniqueName="[Clean_Sales].[Customer_ID]" caption="Customer_ID" attribute="1" defaultMemberUniqueName="[Clean_Sales].[Customer_ID].[All]" allUniqueName="[Clean_Sales].[Customer_ID].[All]" dimensionUniqueName="[Clean_Sales]" displayFolder="" count="0" memberValueDatatype="130" unbalanced="0"/>
    <cacheHierarchy uniqueName="[Clean_Sales].[City]" caption="City" attribute="1" defaultMemberUniqueName="[Clean_Sales].[City].[All]" allUniqueName="[Clean_Sales].[City].[All]" dimensionUniqueName="[Clean_Sales]" displayFolder="" count="2" memberValueDatatype="130" unbalanced="0">
      <fieldsUsage count="2">
        <fieldUsage x="-1"/>
        <fieldUsage x="3"/>
      </fieldsUsage>
    </cacheHierarchy>
    <cacheHierarchy uniqueName="[Clean_Sales].[Product_ID]" caption="Product_ID" attribute="1" defaultMemberUniqueName="[Clean_Sales].[Product_ID].[All]" allUniqueName="[Clean_Sales].[Product_ID].[All]" dimensionUniqueName="[Clean_Sales]" displayFolder="" count="0" memberValueDatatype="130" unbalanced="0"/>
    <cacheHierarchy uniqueName="[Clean_Sales].[Product_Name]" caption="Product_Name" attribute="1" defaultMemberUniqueName="[Clean_Sales].[Product_Name].[All]" allUniqueName="[Clean_Sales].[Product_Name].[All]" dimensionUniqueName="[Clean_Sales]" displayFolder="" count="0" memberValueDatatype="130" unbalanced="0"/>
    <cacheHierarchy uniqueName="[Clean_Sales].[Category]" caption="Category" attribute="1" defaultMemberUniqueName="[Clean_Sales].[Category].[All]" allUniqueName="[Clean_Sales].[Category].[All]" dimensionUniqueName="[Clean_Sales]" displayFolder="" count="2" memberValueDatatype="130" unbalanced="0">
      <fieldsUsage count="2">
        <fieldUsage x="-1"/>
        <fieldUsage x="0"/>
      </fieldsUsage>
    </cacheHierarchy>
    <cacheHierarchy uniqueName="[Clean_Sales].[Quantity]" caption="Quantity" attribute="1" defaultMemberUniqueName="[Clean_Sales].[Quantity].[All]" allUniqueName="[Clean_Sales].[Quantity].[All]" dimensionUniqueName="[Clean_Sales]" displayFolder="" count="0" memberValueDatatype="20" unbalanced="0"/>
    <cacheHierarchy uniqueName="[Clean_Sales].[Unit_Price_AZN]" caption="Unit_Price_AZN" attribute="1" defaultMemberUniqueName="[Clean_Sales].[Unit_Price_AZN].[All]" allUniqueName="[Clean_Sales].[Unit_Price_AZN].[All]" dimensionUniqueName="[Clean_Sales]" displayFolder="" count="0" memberValueDatatype="20" unbalanced="0"/>
    <cacheHierarchy uniqueName="[Clean_Sales].[Unit_Cost_AZN]" caption="Unit_Cost_AZN" attribute="1" defaultMemberUniqueName="[Clean_Sales].[Unit_Cost_AZN].[All]" allUniqueName="[Clean_Sales].[Unit_Cost_AZN].[All]" dimensionUniqueName="[Clean_Sales]" displayFolder="" count="0" memberValueDatatype="20" unbalanced="0"/>
    <cacheHierarchy uniqueName="[Clean_Sales].[Discount_Rate]" caption="Discount_Rate" attribute="1" defaultMemberUniqueName="[Clean_Sales].[Discount_Rate].[All]" allUniqueName="[Clean_Sales].[Discount_Rate].[All]" dimensionUniqueName="[Clean_Sales]" displayFolder="" count="0" memberValueDatatype="5" unbalanced="0"/>
    <cacheHierarchy uniqueName="[Clean_Sales].[Sales_Channel]" caption="Sales_Channel" attribute="1" defaultMemberUniqueName="[Clean_Sales].[Sales_Channel].[All]" allUniqueName="[Clean_Sales].[Sales_Channel].[All]" dimensionUniqueName="[Clean_Sales]" displayFolder="" count="0" memberValueDatatype="130" unbalanced="0"/>
    <cacheHierarchy uniqueName="[Clean_Sales].[Status]" caption="Status" attribute="1" defaultMemberUniqueName="[Clean_Sales].[Status].[All]" allUniqueName="[Clean_Sales].[Status].[All]" dimensionUniqueName="[Clean_Sales]" displayFolder="" count="0" memberValueDatatype="130" unbalanced="0"/>
    <cacheHierarchy uniqueName="[Clean_Sales].[Unit_Cost_Filled_AZN]" caption="Unit_Cost_Filled_AZN" attribute="1" defaultMemberUniqueName="[Clean_Sales].[Unit_Cost_Filled_AZN].[All]" allUniqueName="[Clean_Sales].[Unit_Cost_Filled_AZN].[All]" dimensionUniqueName="[Clean_Sales]" displayFolder="" count="0" memberValueDatatype="20" unbalanced="0"/>
    <cacheHierarchy uniqueName="[Clean_Sales].[Revenue_AZN]" caption="Revenue_AZN" attribute="1" defaultMemberUniqueName="[Clean_Sales].[Revenue_AZN].[All]" allUniqueName="[Clean_Sales].[Revenue_AZN].[All]" dimensionUniqueName="[Clean_Sales]" displayFolder="" count="0" memberValueDatatype="5" unbalanced="0"/>
    <cacheHierarchy uniqueName="[Clean_Sales].[Total_Cost_AZN]" caption="Total_Cost_AZN" attribute="1" defaultMemberUniqueName="[Clean_Sales].[Total_Cost_AZN].[All]" allUniqueName="[Clean_Sales].[Total_Cost_AZN].[All]" dimensionUniqueName="[Clean_Sales]" displayFolder="" count="0" memberValueDatatype="20" unbalanced="0"/>
    <cacheHierarchy uniqueName="[Clean_Sales].[Gross_Profit_AZN]" caption="Gross_Profit_AZN" attribute="1" defaultMemberUniqueName="[Clean_Sales].[Gross_Profit_AZN].[All]" allUniqueName="[Clean_Sales].[Gross_Profit_AZN].[All]" dimensionUniqueName="[Clean_Sales]" displayFolder="" count="0" memberValueDatatype="5" unbalanced="0"/>
    <cacheHierarchy uniqueName="[Clean_Sales].[Gross_Margin]" caption="Gross_Margin" attribute="1" defaultMemberUniqueName="[Clean_Sales].[Gross_Margin].[All]" allUniqueName="[Clean_Sales].[Gross_Margin].[All]" dimensionUniqueName="[Clean_Sales]" displayFolder="" count="0" memberValueDatatype="5" unbalanced="0"/>
    <cacheHierarchy uniqueName="[QA_Zero_Quantity].[Order_ID]" caption="Order_ID" attribute="1" defaultMemberUniqueName="[QA_Zero_Quantity].[Order_ID].[All]" allUniqueName="[QA_Zero_Quantity].[Order_ID].[All]" dimensionUniqueName="[QA_Zero_Quantity]" displayFolder="" count="0" memberValueDatatype="130" unbalanced="0"/>
    <cacheHierarchy uniqueName="[QA_Zero_Quantity].[Order_Date]" caption="Order_Date" attribute="1" time="1" defaultMemberUniqueName="[QA_Zero_Quantity].[Order_Date].[All]" allUniqueName="[QA_Zero_Quantity].[Order_Date].[All]" dimensionUniqueName="[QA_Zero_Quantity]" displayFolder="" count="0" memberValueDatatype="7" unbalanced="0"/>
    <cacheHierarchy uniqueName="[QA_Zero_Quantity].[Customer_ID]" caption="Customer_ID" attribute="1" defaultMemberUniqueName="[QA_Zero_Quantity].[Customer_ID].[All]" allUniqueName="[QA_Zero_Quantity].[Customer_ID].[All]" dimensionUniqueName="[QA_Zero_Quantity]" displayFolder="" count="0" memberValueDatatype="130" unbalanced="0"/>
    <cacheHierarchy uniqueName="[QA_Zero_Quantity].[City]" caption="City" attribute="1" defaultMemberUniqueName="[QA_Zero_Quantity].[City].[All]" allUniqueName="[QA_Zero_Quantity].[City].[All]" dimensionUniqueName="[QA_Zero_Quantity]" displayFolder="" count="0" memberValueDatatype="130" unbalanced="0"/>
    <cacheHierarchy uniqueName="[QA_Zero_Quantity].[Product_ID]" caption="Product_ID" attribute="1" defaultMemberUniqueName="[QA_Zero_Quantity].[Product_ID].[All]" allUniqueName="[QA_Zero_Quantity].[Product_ID].[All]" dimensionUniqueName="[QA_Zero_Quantity]" displayFolder="" count="0" memberValueDatatype="130" unbalanced="0"/>
    <cacheHierarchy uniqueName="[QA_Zero_Quantity].[Product_Name]" caption="Product_Name" attribute="1" defaultMemberUniqueName="[QA_Zero_Quantity].[Product_Name].[All]" allUniqueName="[QA_Zero_Quantity].[Product_Name].[All]" dimensionUniqueName="[QA_Zero_Quantity]" displayFolder="" count="0" memberValueDatatype="130" unbalanced="0"/>
    <cacheHierarchy uniqueName="[QA_Zero_Quantity].[Category]" caption="Category" attribute="1" defaultMemberUniqueName="[QA_Zero_Quantity].[Category].[All]" allUniqueName="[QA_Zero_Quantity].[Category].[All]" dimensionUniqueName="[QA_Zero_Quantity]" displayFolder="" count="0" memberValueDatatype="130" unbalanced="0"/>
    <cacheHierarchy uniqueName="[QA_Zero_Quantity].[Quantity]" caption="Quantity" attribute="1" defaultMemberUniqueName="[QA_Zero_Quantity].[Quantity].[All]" allUniqueName="[QA_Zero_Quantity].[Quantity].[All]" dimensionUniqueName="[QA_Zero_Quantity]" displayFolder="" count="0" memberValueDatatype="20" unbalanced="0"/>
    <cacheHierarchy uniqueName="[QA_Zero_Quantity].[Unit_Price_AZN]" caption="Unit_Price_AZN" attribute="1" defaultMemberUniqueName="[QA_Zero_Quantity].[Unit_Price_AZN].[All]" allUniqueName="[QA_Zero_Quantity].[Unit_Price_AZN].[All]" dimensionUniqueName="[QA_Zero_Quantity]" displayFolder="" count="0" memberValueDatatype="5" unbalanced="0"/>
    <cacheHierarchy uniqueName="[QA_Zero_Quantity].[Unit_Cost_AZN]" caption="Unit_Cost_AZN" attribute="1" defaultMemberUniqueName="[QA_Zero_Quantity].[Unit_Cost_AZN].[All]" allUniqueName="[QA_Zero_Quantity].[Unit_Cost_AZN].[All]" dimensionUniqueName="[QA_Zero_Quantity]" displayFolder="" count="0" memberValueDatatype="5" unbalanced="0"/>
    <cacheHierarchy uniqueName="[QA_Zero_Quantity].[Discount_Rate]" caption="Discount_Rate" attribute="1" defaultMemberUniqueName="[QA_Zero_Quantity].[Discount_Rate].[All]" allUniqueName="[QA_Zero_Quantity].[Discount_Rate].[All]" dimensionUniqueName="[QA_Zero_Quantity]" displayFolder="" count="0" memberValueDatatype="5" unbalanced="0"/>
    <cacheHierarchy uniqueName="[QA_Zero_Quantity].[Sales_Channel]" caption="Sales_Channel" attribute="1" defaultMemberUniqueName="[QA_Zero_Quantity].[Sales_Channel].[All]" allUniqueName="[QA_Zero_Quantity].[Sales_Channel].[All]" dimensionUniqueName="[QA_Zero_Quantity]" displayFolder="" count="0" memberValueDatatype="130" unbalanced="0"/>
    <cacheHierarchy uniqueName="[QA_Zero_Quantity].[Status]" caption="Status" attribute="1" defaultMemberUniqueName="[QA_Zero_Quantity].[Status].[All]" allUniqueName="[QA_Zero_Quantity].[Status].[All]" dimensionUniqueName="[QA_Zero_Quantity]" displayFolder="" count="0" memberValueDatatype="130" unbalanced="0"/>
    <cacheHierarchy uniqueName="[QA_Zero_Quantity].[Unit_Cost_Filled_AZN]" caption="Unit_Cost_Filled_AZN" attribute="1" defaultMemberUniqueName="[QA_Zero_Quantity].[Unit_Cost_Filled_AZN].[All]" allUniqueName="[QA_Zero_Quantity].[Unit_Cost_Filled_AZN].[All]" dimensionUniqueName="[QA_Zero_Quantity]" displayFolder="" count="0" memberValueDatatype="5" unbalanced="0"/>
    <cacheHierarchy uniqueName="[Measures].[__XL_Count QA_Zero_Quantity]" caption="__XL_Count QA_Zero_Quantity" measure="1" displayFolder="" measureGroup="QA_Zero_Quantity" count="0" hidden="1"/>
    <cacheHierarchy uniqueName="[Measures].[__XL_Count Clean_Sales]" caption="__XL_Count Clean_Sales" measure="1" displayFolder="" measureGroup="Clean_Sales" count="0" hidden="1"/>
    <cacheHierarchy uniqueName="[Measures].[__No measures defined]" caption="__No measures defined" measure="1" displayFolder="" count="0" hidden="1"/>
    <cacheHierarchy uniqueName="[Measures].[Sum of Gross_Profit_AZN]" caption="Sum of Gross_Profit_AZN" measure="1" displayFolder="" measureGroup="Clean_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ross_Profit_AZN]" caption="Count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Sum of Revenue_AZN]" caption="Sum of Revenue_AZN" measure="1" displayFolder="" measureGroup="Clean_Sale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Clean_Sales" count="0" hidden="1">
      <extLst>
        <ext xmlns:x15="http://schemas.microsoft.com/office/spreadsheetml/2010/11/main" uri="{B97F6D7D-B522-45F9-BDA1-12C45D357490}">
          <x15:cacheHierarchy aggregatedColumn="0"/>
        </ext>
      </extLst>
    </cacheHierarchy>
  </cacheHierarchies>
  <kpis count="0"/>
  <dimensions count="3">
    <dimension name="Clean_Sales" uniqueName="[Clean_Sales]" caption="Clean_Sales"/>
    <dimension measure="1" name="Measures" uniqueName="[Measures]" caption="Measures"/>
    <dimension name="QA_Zero_Quantity" uniqueName="[QA_Zero_Quantity]" caption="QA_Zero_Quantity"/>
  </dimensions>
  <measureGroups count="2">
    <measureGroup name="Clean_Sales" caption="Clean_Sales"/>
    <measureGroup name="QA_Zero_Quantity" caption="QA_Zero_Quantity"/>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vinc" refreshedDate="46278.705518634262" backgroundQuery="1" createdVersion="6" refreshedVersion="6" minRefreshableVersion="3" recordCount="0" supportSubquery="1" supportAdvancedDrill="1" xr:uid="{FD8A8EF3-BDC3-4A58-AC99-65F98CBA32FA}">
  <cacheSource type="external" connectionId="5"/>
  <cacheFields count="2">
    <cacheField name="[Clean_Sales].[City].[City]" caption="City" numFmtId="0" hierarchy="4" level="1">
      <sharedItems count="5">
        <s v="Baku"/>
        <s v="Ganja"/>
        <s v="Lankaran"/>
        <s v="Sumgait"/>
        <s v="Unknown"/>
      </sharedItems>
    </cacheField>
    <cacheField name="[Measures].[Sum of Revenue_AZN]" caption="Sum of Revenue_AZN" numFmtId="0" hierarchy="38" level="32767"/>
  </cacheFields>
  <cacheHierarchies count="40">
    <cacheHierarchy uniqueName="[Clean_Sales].[Order_ID]" caption="Order_ID" attribute="1" defaultMemberUniqueName="[Clean_Sales].[Order_ID].[All]" allUniqueName="[Clean_Sales].[Order_ID].[All]" dimensionUniqueName="[Clean_Sales]" displayFolder="" count="2" memberValueDatatype="130" unbalanced="0"/>
    <cacheHierarchy uniqueName="[Clean_Sales].[Month]" caption="Month" attribute="1" defaultMemberUniqueName="[Clean_Sales].[Month].[All]" allUniqueName="[Clean_Sales].[Month].[All]" dimensionUniqueName="[Clean_Sales]" displayFolder="" count="2" memberValueDatatype="20" unbalanced="0"/>
    <cacheHierarchy uniqueName="[Clean_Sales].[Order_Date]" caption="Order_Date" attribute="1" time="1" defaultMemberUniqueName="[Clean_Sales].[Order_Date].[All]" allUniqueName="[Clean_Sales].[Order_Date].[All]" dimensionUniqueName="[Clean_Sales]" displayFolder="" count="2" memberValueDatatype="7" unbalanced="0"/>
    <cacheHierarchy uniqueName="[Clean_Sales].[Customer_ID]" caption="Customer_ID" attribute="1" defaultMemberUniqueName="[Clean_Sales].[Customer_ID].[All]" allUniqueName="[Clean_Sales].[Customer_ID].[All]" dimensionUniqueName="[Clean_Sales]" displayFolder="" count="2" memberValueDatatype="130" unbalanced="0"/>
    <cacheHierarchy uniqueName="[Clean_Sales].[City]" caption="City" attribute="1" defaultMemberUniqueName="[Clean_Sales].[City].[All]" allUniqueName="[Clean_Sales].[City].[All]" dimensionUniqueName="[Clean_Sales]" displayFolder="" count="2" memberValueDatatype="130" unbalanced="0">
      <fieldsUsage count="2">
        <fieldUsage x="-1"/>
        <fieldUsage x="0"/>
      </fieldsUsage>
    </cacheHierarchy>
    <cacheHierarchy uniqueName="[Clean_Sales].[Product_ID]" caption="Product_ID" attribute="1" defaultMemberUniqueName="[Clean_Sales].[Product_ID].[All]" allUniqueName="[Clean_Sales].[Product_ID].[All]" dimensionUniqueName="[Clean_Sales]" displayFolder="" count="2" memberValueDatatype="130" unbalanced="0"/>
    <cacheHierarchy uniqueName="[Clean_Sales].[Product_Name]" caption="Product_Name" attribute="1" defaultMemberUniqueName="[Clean_Sales].[Product_Name].[All]" allUniqueName="[Clean_Sales].[Product_Name].[All]" dimensionUniqueName="[Clean_Sales]" displayFolder="" count="2" memberValueDatatype="130" unbalanced="0"/>
    <cacheHierarchy uniqueName="[Clean_Sales].[Category]" caption="Category" attribute="1" defaultMemberUniqueName="[Clean_Sales].[Category].[All]" allUniqueName="[Clean_Sales].[Category].[All]" dimensionUniqueName="[Clean_Sales]" displayFolder="" count="2" memberValueDatatype="130" unbalanced="0"/>
    <cacheHierarchy uniqueName="[Clean_Sales].[Quantity]" caption="Quantity" attribute="1" defaultMemberUniqueName="[Clean_Sales].[Quantity].[All]" allUniqueName="[Clean_Sales].[Quantity].[All]" dimensionUniqueName="[Clean_Sales]" displayFolder="" count="2" memberValueDatatype="20" unbalanced="0"/>
    <cacheHierarchy uniqueName="[Clean_Sales].[Unit_Price_AZN]" caption="Unit_Price_AZN" attribute="1" defaultMemberUniqueName="[Clean_Sales].[Unit_Price_AZN].[All]" allUniqueName="[Clean_Sales].[Unit_Price_AZN].[All]" dimensionUniqueName="[Clean_Sales]" displayFolder="" count="2" memberValueDatatype="20" unbalanced="0"/>
    <cacheHierarchy uniqueName="[Clean_Sales].[Unit_Cost_AZN]" caption="Unit_Cost_AZN" attribute="1" defaultMemberUniqueName="[Clean_Sales].[Unit_Cost_AZN].[All]" allUniqueName="[Clean_Sales].[Unit_Cost_AZN].[All]" dimensionUniqueName="[Clean_Sales]" displayFolder="" count="2" memberValueDatatype="20" unbalanced="0"/>
    <cacheHierarchy uniqueName="[Clean_Sales].[Discount_Rate]" caption="Discount_Rate" attribute="1" defaultMemberUniqueName="[Clean_Sales].[Discount_Rate].[All]" allUniqueName="[Clean_Sales].[Discount_Rate].[All]" dimensionUniqueName="[Clean_Sales]" displayFolder="" count="2" memberValueDatatype="5" unbalanced="0"/>
    <cacheHierarchy uniqueName="[Clean_Sales].[Sales_Channel]" caption="Sales_Channel" attribute="1" defaultMemberUniqueName="[Clean_Sales].[Sales_Channel].[All]" allUniqueName="[Clean_Sales].[Sales_Channel].[All]" dimensionUniqueName="[Clean_Sales]" displayFolder="" count="2" memberValueDatatype="130" unbalanced="0"/>
    <cacheHierarchy uniqueName="[Clean_Sales].[Status]" caption="Status" attribute="1" defaultMemberUniqueName="[Clean_Sales].[Status].[All]" allUniqueName="[Clean_Sales].[Status].[All]" dimensionUniqueName="[Clean_Sales]" displayFolder="" count="2" memberValueDatatype="130" unbalanced="0"/>
    <cacheHierarchy uniqueName="[Clean_Sales].[Unit_Cost_Filled_AZN]" caption="Unit_Cost_Filled_AZN" attribute="1" defaultMemberUniqueName="[Clean_Sales].[Unit_Cost_Filled_AZN].[All]" allUniqueName="[Clean_Sales].[Unit_Cost_Filled_AZN].[All]" dimensionUniqueName="[Clean_Sales]" displayFolder="" count="2" memberValueDatatype="20" unbalanced="0"/>
    <cacheHierarchy uniqueName="[Clean_Sales].[Revenue_AZN]" caption="Revenue_AZN" attribute="1" defaultMemberUniqueName="[Clean_Sales].[Revenue_AZN].[All]" allUniqueName="[Clean_Sales].[Revenue_AZN].[All]" dimensionUniqueName="[Clean_Sales]" displayFolder="" count="2" memberValueDatatype="5" unbalanced="0"/>
    <cacheHierarchy uniqueName="[Clean_Sales].[Total_Cost_AZN]" caption="Total_Cost_AZN" attribute="1" defaultMemberUniqueName="[Clean_Sales].[Total_Cost_AZN].[All]" allUniqueName="[Clean_Sales].[Total_Cost_AZN].[All]" dimensionUniqueName="[Clean_Sales]" displayFolder="" count="2" memberValueDatatype="20" unbalanced="0"/>
    <cacheHierarchy uniqueName="[Clean_Sales].[Gross_Profit_AZN]" caption="Gross_Profit_AZN" attribute="1" defaultMemberUniqueName="[Clean_Sales].[Gross_Profit_AZN].[All]" allUniqueName="[Clean_Sales].[Gross_Profit_AZN].[All]" dimensionUniqueName="[Clean_Sales]" displayFolder="" count="2" memberValueDatatype="5" unbalanced="0"/>
    <cacheHierarchy uniqueName="[Clean_Sales].[Gross_Margin]" caption="Gross_Margin" attribute="1" defaultMemberUniqueName="[Clean_Sales].[Gross_Margin].[All]" allUniqueName="[Clean_Sales].[Gross_Margin].[All]" dimensionUniqueName="[Clean_Sales]" displayFolder="" count="2" memberValueDatatype="5" unbalanced="0"/>
    <cacheHierarchy uniqueName="[QA_Zero_Quantity].[Order_ID]" caption="Order_ID" attribute="1" defaultMemberUniqueName="[QA_Zero_Quantity].[Order_ID].[All]" allUniqueName="[QA_Zero_Quantity].[Order_ID].[All]" dimensionUniqueName="[QA_Zero_Quantity]" displayFolder="" count="2" memberValueDatatype="130" unbalanced="0"/>
    <cacheHierarchy uniqueName="[QA_Zero_Quantity].[Order_Date]" caption="Order_Date" attribute="1" time="1" defaultMemberUniqueName="[QA_Zero_Quantity].[Order_Date].[All]" allUniqueName="[QA_Zero_Quantity].[Order_Date].[All]" dimensionUniqueName="[QA_Zero_Quantity]" displayFolder="" count="2" memberValueDatatype="7" unbalanced="0"/>
    <cacheHierarchy uniqueName="[QA_Zero_Quantity].[Customer_ID]" caption="Customer_ID" attribute="1" defaultMemberUniqueName="[QA_Zero_Quantity].[Customer_ID].[All]" allUniqueName="[QA_Zero_Quantity].[Customer_ID].[All]" dimensionUniqueName="[QA_Zero_Quantity]" displayFolder="" count="2" memberValueDatatype="130" unbalanced="0"/>
    <cacheHierarchy uniqueName="[QA_Zero_Quantity].[City]" caption="City" attribute="1" defaultMemberUniqueName="[QA_Zero_Quantity].[City].[All]" allUniqueName="[QA_Zero_Quantity].[City].[All]" dimensionUniqueName="[QA_Zero_Quantity]" displayFolder="" count="2" memberValueDatatype="130" unbalanced="0"/>
    <cacheHierarchy uniqueName="[QA_Zero_Quantity].[Product_ID]" caption="Product_ID" attribute="1" defaultMemberUniqueName="[QA_Zero_Quantity].[Product_ID].[All]" allUniqueName="[QA_Zero_Quantity].[Product_ID].[All]" dimensionUniqueName="[QA_Zero_Quantity]" displayFolder="" count="2" memberValueDatatype="130" unbalanced="0"/>
    <cacheHierarchy uniqueName="[QA_Zero_Quantity].[Product_Name]" caption="Product_Name" attribute="1" defaultMemberUniqueName="[QA_Zero_Quantity].[Product_Name].[All]" allUniqueName="[QA_Zero_Quantity].[Product_Name].[All]" dimensionUniqueName="[QA_Zero_Quantity]" displayFolder="" count="2" memberValueDatatype="130" unbalanced="0"/>
    <cacheHierarchy uniqueName="[QA_Zero_Quantity].[Category]" caption="Category" attribute="1" defaultMemberUniqueName="[QA_Zero_Quantity].[Category].[All]" allUniqueName="[QA_Zero_Quantity].[Category].[All]" dimensionUniqueName="[QA_Zero_Quantity]" displayFolder="" count="2" memberValueDatatype="130" unbalanced="0"/>
    <cacheHierarchy uniqueName="[QA_Zero_Quantity].[Quantity]" caption="Quantity" attribute="1" defaultMemberUniqueName="[QA_Zero_Quantity].[Quantity].[All]" allUniqueName="[QA_Zero_Quantity].[Quantity].[All]" dimensionUniqueName="[QA_Zero_Quantity]" displayFolder="" count="2" memberValueDatatype="20" unbalanced="0"/>
    <cacheHierarchy uniqueName="[QA_Zero_Quantity].[Unit_Price_AZN]" caption="Unit_Price_AZN" attribute="1" defaultMemberUniqueName="[QA_Zero_Quantity].[Unit_Price_AZN].[All]" allUniqueName="[QA_Zero_Quantity].[Unit_Price_AZN].[All]" dimensionUniqueName="[QA_Zero_Quantity]" displayFolder="" count="2" memberValueDatatype="5" unbalanced="0"/>
    <cacheHierarchy uniqueName="[QA_Zero_Quantity].[Unit_Cost_AZN]" caption="Unit_Cost_AZN" attribute="1" defaultMemberUniqueName="[QA_Zero_Quantity].[Unit_Cost_AZN].[All]" allUniqueName="[QA_Zero_Quantity].[Unit_Cost_AZN].[All]" dimensionUniqueName="[QA_Zero_Quantity]" displayFolder="" count="2" memberValueDatatype="5" unbalanced="0"/>
    <cacheHierarchy uniqueName="[QA_Zero_Quantity].[Discount_Rate]" caption="Discount_Rate" attribute="1" defaultMemberUniqueName="[QA_Zero_Quantity].[Discount_Rate].[All]" allUniqueName="[QA_Zero_Quantity].[Discount_Rate].[All]" dimensionUniqueName="[QA_Zero_Quantity]" displayFolder="" count="2" memberValueDatatype="5" unbalanced="0"/>
    <cacheHierarchy uniqueName="[QA_Zero_Quantity].[Sales_Channel]" caption="Sales_Channel" attribute="1" defaultMemberUniqueName="[QA_Zero_Quantity].[Sales_Channel].[All]" allUniqueName="[QA_Zero_Quantity].[Sales_Channel].[All]" dimensionUniqueName="[QA_Zero_Quantity]" displayFolder="" count="2" memberValueDatatype="130" unbalanced="0"/>
    <cacheHierarchy uniqueName="[QA_Zero_Quantity].[Status]" caption="Status" attribute="1" defaultMemberUniqueName="[QA_Zero_Quantity].[Status].[All]" allUniqueName="[QA_Zero_Quantity].[Status].[All]" dimensionUniqueName="[QA_Zero_Quantity]" displayFolder="" count="2" memberValueDatatype="130" unbalanced="0"/>
    <cacheHierarchy uniqueName="[QA_Zero_Quantity].[Unit_Cost_Filled_AZN]" caption="Unit_Cost_Filled_AZN" attribute="1" defaultMemberUniqueName="[QA_Zero_Quantity].[Unit_Cost_Filled_AZN].[All]" allUniqueName="[QA_Zero_Quantity].[Unit_Cost_Filled_AZN].[All]" dimensionUniqueName="[QA_Zero_Quantity]" displayFolder="" count="2" memberValueDatatype="5" unbalanced="0"/>
    <cacheHierarchy uniqueName="[Measures].[__XL_Count QA_Zero_Quantity]" caption="__XL_Count QA_Zero_Quantity" measure="1" displayFolder="" measureGroup="QA_Zero_Quantity" count="0" hidden="1"/>
    <cacheHierarchy uniqueName="[Measures].[__XL_Count Clean_Sales]" caption="__XL_Count Clean_Sales" measure="1" displayFolder="" measureGroup="Clean_Sales" count="0" hidden="1"/>
    <cacheHierarchy uniqueName="[Measures].[__No measures defined]" caption="__No measures defined" measure="1" displayFolder="" count="0" hidden="1"/>
    <cacheHierarchy uniqueName="[Measures].[Sum of Gross_Profit_AZN]" caption="Sum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Count of Gross_Profit_AZN]" caption="Count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Sum of Revenue_AZN]" caption="Sum of Revenue_AZN" measure="1" displayFolder="" measureGroup="Clean_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Clean_Sales" count="0" hidden="1">
      <extLst>
        <ext xmlns:x15="http://schemas.microsoft.com/office/spreadsheetml/2010/11/main" uri="{B97F6D7D-B522-45F9-BDA1-12C45D357490}">
          <x15:cacheHierarchy aggregatedColumn="0"/>
        </ext>
      </extLst>
    </cacheHierarchy>
  </cacheHierarchies>
  <kpis count="0"/>
  <dimensions count="3">
    <dimension name="Clean_Sales" uniqueName="[Clean_Sales]" caption="Clean_Sales"/>
    <dimension measure="1" name="Measures" uniqueName="[Measures]" caption="Measures"/>
    <dimension name="QA_Zero_Quantity" uniqueName="[QA_Zero_Quantity]" caption="QA_Zero_Quantity"/>
  </dimensions>
  <measureGroups count="2">
    <measureGroup name="Clean_Sales" caption="Clean_Sales"/>
    <measureGroup name="QA_Zero_Quantity" caption="QA_Zero_Quantity"/>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vinc" refreshedDate="46278.705519212963" backgroundQuery="1" createdVersion="6" refreshedVersion="6" minRefreshableVersion="3" recordCount="0" supportSubquery="1" supportAdvancedDrill="1" xr:uid="{94FFBBAE-B990-4166-A130-66F9BD02E780}">
  <cacheSource type="external" connectionId="5"/>
  <cacheFields count="4">
    <cacheField name="[Measures].[Sum of Revenue_AZN]" caption="Sum of Revenue_AZN" numFmtId="0" hierarchy="38" level="32767"/>
    <cacheField name="[Measures].[Sum of Gross_Profit_AZN]" caption="Sum of Gross_Profit_AZN" numFmtId="0" hierarchy="36" level="32767"/>
    <cacheField name="[Measures].[Count of Order_ID]" caption="Count of Order_ID" numFmtId="0" hierarchy="39" level="32767"/>
    <cacheField name="[Clean_Sales].[City].[City]" caption="City" numFmtId="0" hierarchy="4" level="1">
      <sharedItems containsSemiMixedTypes="0" containsNonDate="0" containsString="0"/>
    </cacheField>
  </cacheFields>
  <cacheHierarchies count="40">
    <cacheHierarchy uniqueName="[Clean_Sales].[Order_ID]" caption="Order_ID" attribute="1" defaultMemberUniqueName="[Clean_Sales].[Order_ID].[All]" allUniqueName="[Clean_Sales].[Order_ID].[All]" dimensionUniqueName="[Clean_Sales]" displayFolder="" count="0" memberValueDatatype="130" unbalanced="0"/>
    <cacheHierarchy uniqueName="[Clean_Sales].[Month]" caption="Month" attribute="1" defaultMemberUniqueName="[Clean_Sales].[Month].[All]" allUniqueName="[Clean_Sales].[Month].[All]" dimensionUniqueName="[Clean_Sales]" displayFolder="" count="0" memberValueDatatype="20" unbalanced="0"/>
    <cacheHierarchy uniqueName="[Clean_Sales].[Order_Date]" caption="Order_Date" attribute="1" time="1" defaultMemberUniqueName="[Clean_Sales].[Order_Date].[All]" allUniqueName="[Clean_Sales].[Order_Date].[All]" dimensionUniqueName="[Clean_Sales]" displayFolder="" count="0" memberValueDatatype="7" unbalanced="0"/>
    <cacheHierarchy uniqueName="[Clean_Sales].[Customer_ID]" caption="Customer_ID" attribute="1" defaultMemberUniqueName="[Clean_Sales].[Customer_ID].[All]" allUniqueName="[Clean_Sales].[Customer_ID].[All]" dimensionUniqueName="[Clean_Sales]" displayFolder="" count="0" memberValueDatatype="130" unbalanced="0"/>
    <cacheHierarchy uniqueName="[Clean_Sales].[City]" caption="City" attribute="1" defaultMemberUniqueName="[Clean_Sales].[City].[All]" allUniqueName="[Clean_Sales].[City].[All]" dimensionUniqueName="[Clean_Sales]" displayFolder="" count="2" memberValueDatatype="130" unbalanced="0">
      <fieldsUsage count="2">
        <fieldUsage x="-1"/>
        <fieldUsage x="3"/>
      </fieldsUsage>
    </cacheHierarchy>
    <cacheHierarchy uniqueName="[Clean_Sales].[Product_ID]" caption="Product_ID" attribute="1" defaultMemberUniqueName="[Clean_Sales].[Product_ID].[All]" allUniqueName="[Clean_Sales].[Product_ID].[All]" dimensionUniqueName="[Clean_Sales]" displayFolder="" count="0" memberValueDatatype="130" unbalanced="0"/>
    <cacheHierarchy uniqueName="[Clean_Sales].[Product_Name]" caption="Product_Name" attribute="1" defaultMemberUniqueName="[Clean_Sales].[Product_Name].[All]" allUniqueName="[Clean_Sales].[Product_Name].[All]" dimensionUniqueName="[Clean_Sales]" displayFolder="" count="0" memberValueDatatype="130" unbalanced="0"/>
    <cacheHierarchy uniqueName="[Clean_Sales].[Category]" caption="Category" attribute="1" defaultMemberUniqueName="[Clean_Sales].[Category].[All]" allUniqueName="[Clean_Sales].[Category].[All]" dimensionUniqueName="[Clean_Sales]" displayFolder="" count="0" memberValueDatatype="130" unbalanced="0"/>
    <cacheHierarchy uniqueName="[Clean_Sales].[Quantity]" caption="Quantity" attribute="1" defaultMemberUniqueName="[Clean_Sales].[Quantity].[All]" allUniqueName="[Clean_Sales].[Quantity].[All]" dimensionUniqueName="[Clean_Sales]" displayFolder="" count="0" memberValueDatatype="20" unbalanced="0"/>
    <cacheHierarchy uniqueName="[Clean_Sales].[Unit_Price_AZN]" caption="Unit_Price_AZN" attribute="1" defaultMemberUniqueName="[Clean_Sales].[Unit_Price_AZN].[All]" allUniqueName="[Clean_Sales].[Unit_Price_AZN].[All]" dimensionUniqueName="[Clean_Sales]" displayFolder="" count="0" memberValueDatatype="20" unbalanced="0"/>
    <cacheHierarchy uniqueName="[Clean_Sales].[Unit_Cost_AZN]" caption="Unit_Cost_AZN" attribute="1" defaultMemberUniqueName="[Clean_Sales].[Unit_Cost_AZN].[All]" allUniqueName="[Clean_Sales].[Unit_Cost_AZN].[All]" dimensionUniqueName="[Clean_Sales]" displayFolder="" count="0" memberValueDatatype="20" unbalanced="0"/>
    <cacheHierarchy uniqueName="[Clean_Sales].[Discount_Rate]" caption="Discount_Rate" attribute="1" defaultMemberUniqueName="[Clean_Sales].[Discount_Rate].[All]" allUniqueName="[Clean_Sales].[Discount_Rate].[All]" dimensionUniqueName="[Clean_Sales]" displayFolder="" count="0" memberValueDatatype="5" unbalanced="0"/>
    <cacheHierarchy uniqueName="[Clean_Sales].[Sales_Channel]" caption="Sales_Channel" attribute="1" defaultMemberUniqueName="[Clean_Sales].[Sales_Channel].[All]" allUniqueName="[Clean_Sales].[Sales_Channel].[All]" dimensionUniqueName="[Clean_Sales]" displayFolder="" count="2" memberValueDatatype="130" unbalanced="0"/>
    <cacheHierarchy uniqueName="[Clean_Sales].[Status]" caption="Status" attribute="1" defaultMemberUniqueName="[Clean_Sales].[Status].[All]" allUniqueName="[Clean_Sales].[Status].[All]" dimensionUniqueName="[Clean_Sales]" displayFolder="" count="0" memberValueDatatype="130" unbalanced="0"/>
    <cacheHierarchy uniqueName="[Clean_Sales].[Unit_Cost_Filled_AZN]" caption="Unit_Cost_Filled_AZN" attribute="1" defaultMemberUniqueName="[Clean_Sales].[Unit_Cost_Filled_AZN].[All]" allUniqueName="[Clean_Sales].[Unit_Cost_Filled_AZN].[All]" dimensionUniqueName="[Clean_Sales]" displayFolder="" count="0" memberValueDatatype="20" unbalanced="0"/>
    <cacheHierarchy uniqueName="[Clean_Sales].[Revenue_AZN]" caption="Revenue_AZN" attribute="1" defaultMemberUniqueName="[Clean_Sales].[Revenue_AZN].[All]" allUniqueName="[Clean_Sales].[Revenue_AZN].[All]" dimensionUniqueName="[Clean_Sales]" displayFolder="" count="0" memberValueDatatype="5" unbalanced="0"/>
    <cacheHierarchy uniqueName="[Clean_Sales].[Total_Cost_AZN]" caption="Total_Cost_AZN" attribute="1" defaultMemberUniqueName="[Clean_Sales].[Total_Cost_AZN].[All]" allUniqueName="[Clean_Sales].[Total_Cost_AZN].[All]" dimensionUniqueName="[Clean_Sales]" displayFolder="" count="0" memberValueDatatype="20" unbalanced="0"/>
    <cacheHierarchy uniqueName="[Clean_Sales].[Gross_Profit_AZN]" caption="Gross_Profit_AZN" attribute="1" defaultMemberUniqueName="[Clean_Sales].[Gross_Profit_AZN].[All]" allUniqueName="[Clean_Sales].[Gross_Profit_AZN].[All]" dimensionUniqueName="[Clean_Sales]" displayFolder="" count="0" memberValueDatatype="5" unbalanced="0"/>
    <cacheHierarchy uniqueName="[Clean_Sales].[Gross_Margin]" caption="Gross_Margin" attribute="1" defaultMemberUniqueName="[Clean_Sales].[Gross_Margin].[All]" allUniqueName="[Clean_Sales].[Gross_Margin].[All]" dimensionUniqueName="[Clean_Sales]" displayFolder="" count="0" memberValueDatatype="5" unbalanced="0"/>
    <cacheHierarchy uniqueName="[QA_Zero_Quantity].[Order_ID]" caption="Order_ID" attribute="1" defaultMemberUniqueName="[QA_Zero_Quantity].[Order_ID].[All]" allUniqueName="[QA_Zero_Quantity].[Order_ID].[All]" dimensionUniqueName="[QA_Zero_Quantity]" displayFolder="" count="0" memberValueDatatype="130" unbalanced="0"/>
    <cacheHierarchy uniqueName="[QA_Zero_Quantity].[Order_Date]" caption="Order_Date" attribute="1" time="1" defaultMemberUniqueName="[QA_Zero_Quantity].[Order_Date].[All]" allUniqueName="[QA_Zero_Quantity].[Order_Date].[All]" dimensionUniqueName="[QA_Zero_Quantity]" displayFolder="" count="0" memberValueDatatype="7" unbalanced="0"/>
    <cacheHierarchy uniqueName="[QA_Zero_Quantity].[Customer_ID]" caption="Customer_ID" attribute="1" defaultMemberUniqueName="[QA_Zero_Quantity].[Customer_ID].[All]" allUniqueName="[QA_Zero_Quantity].[Customer_ID].[All]" dimensionUniqueName="[QA_Zero_Quantity]" displayFolder="" count="0" memberValueDatatype="130" unbalanced="0"/>
    <cacheHierarchy uniqueName="[QA_Zero_Quantity].[City]" caption="City" attribute="1" defaultMemberUniqueName="[QA_Zero_Quantity].[City].[All]" allUniqueName="[QA_Zero_Quantity].[City].[All]" dimensionUniqueName="[QA_Zero_Quantity]" displayFolder="" count="0" memberValueDatatype="130" unbalanced="0"/>
    <cacheHierarchy uniqueName="[QA_Zero_Quantity].[Product_ID]" caption="Product_ID" attribute="1" defaultMemberUniqueName="[QA_Zero_Quantity].[Product_ID].[All]" allUniqueName="[QA_Zero_Quantity].[Product_ID].[All]" dimensionUniqueName="[QA_Zero_Quantity]" displayFolder="" count="0" memberValueDatatype="130" unbalanced="0"/>
    <cacheHierarchy uniqueName="[QA_Zero_Quantity].[Product_Name]" caption="Product_Name" attribute="1" defaultMemberUniqueName="[QA_Zero_Quantity].[Product_Name].[All]" allUniqueName="[QA_Zero_Quantity].[Product_Name].[All]" dimensionUniqueName="[QA_Zero_Quantity]" displayFolder="" count="0" memberValueDatatype="130" unbalanced="0"/>
    <cacheHierarchy uniqueName="[QA_Zero_Quantity].[Category]" caption="Category" attribute="1" defaultMemberUniqueName="[QA_Zero_Quantity].[Category].[All]" allUniqueName="[QA_Zero_Quantity].[Category].[All]" dimensionUniqueName="[QA_Zero_Quantity]" displayFolder="" count="0" memberValueDatatype="130" unbalanced="0"/>
    <cacheHierarchy uniqueName="[QA_Zero_Quantity].[Quantity]" caption="Quantity" attribute="1" defaultMemberUniqueName="[QA_Zero_Quantity].[Quantity].[All]" allUniqueName="[QA_Zero_Quantity].[Quantity].[All]" dimensionUniqueName="[QA_Zero_Quantity]" displayFolder="" count="0" memberValueDatatype="20" unbalanced="0"/>
    <cacheHierarchy uniqueName="[QA_Zero_Quantity].[Unit_Price_AZN]" caption="Unit_Price_AZN" attribute="1" defaultMemberUniqueName="[QA_Zero_Quantity].[Unit_Price_AZN].[All]" allUniqueName="[QA_Zero_Quantity].[Unit_Price_AZN].[All]" dimensionUniqueName="[QA_Zero_Quantity]" displayFolder="" count="0" memberValueDatatype="5" unbalanced="0"/>
    <cacheHierarchy uniqueName="[QA_Zero_Quantity].[Unit_Cost_AZN]" caption="Unit_Cost_AZN" attribute="1" defaultMemberUniqueName="[QA_Zero_Quantity].[Unit_Cost_AZN].[All]" allUniqueName="[QA_Zero_Quantity].[Unit_Cost_AZN].[All]" dimensionUniqueName="[QA_Zero_Quantity]" displayFolder="" count="0" memberValueDatatype="5" unbalanced="0"/>
    <cacheHierarchy uniqueName="[QA_Zero_Quantity].[Discount_Rate]" caption="Discount_Rate" attribute="1" defaultMemberUniqueName="[QA_Zero_Quantity].[Discount_Rate].[All]" allUniqueName="[QA_Zero_Quantity].[Discount_Rate].[All]" dimensionUniqueName="[QA_Zero_Quantity]" displayFolder="" count="0" memberValueDatatype="5" unbalanced="0"/>
    <cacheHierarchy uniqueName="[QA_Zero_Quantity].[Sales_Channel]" caption="Sales_Channel" attribute="1" defaultMemberUniqueName="[QA_Zero_Quantity].[Sales_Channel].[All]" allUniqueName="[QA_Zero_Quantity].[Sales_Channel].[All]" dimensionUniqueName="[QA_Zero_Quantity]" displayFolder="" count="0" memberValueDatatype="130" unbalanced="0"/>
    <cacheHierarchy uniqueName="[QA_Zero_Quantity].[Status]" caption="Status" attribute="1" defaultMemberUniqueName="[QA_Zero_Quantity].[Status].[All]" allUniqueName="[QA_Zero_Quantity].[Status].[All]" dimensionUniqueName="[QA_Zero_Quantity]" displayFolder="" count="0" memberValueDatatype="130" unbalanced="0"/>
    <cacheHierarchy uniqueName="[QA_Zero_Quantity].[Unit_Cost_Filled_AZN]" caption="Unit_Cost_Filled_AZN" attribute="1" defaultMemberUniqueName="[QA_Zero_Quantity].[Unit_Cost_Filled_AZN].[All]" allUniqueName="[QA_Zero_Quantity].[Unit_Cost_Filled_AZN].[All]" dimensionUniqueName="[QA_Zero_Quantity]" displayFolder="" count="0" memberValueDatatype="5" unbalanced="0"/>
    <cacheHierarchy uniqueName="[Measures].[__XL_Count QA_Zero_Quantity]" caption="__XL_Count QA_Zero_Quantity" measure="1" displayFolder="" measureGroup="QA_Zero_Quantity" count="0" hidden="1"/>
    <cacheHierarchy uniqueName="[Measures].[__XL_Count Clean_Sales]" caption="__XL_Count Clean_Sales" measure="1" displayFolder="" measureGroup="Clean_Sales" count="0" hidden="1"/>
    <cacheHierarchy uniqueName="[Measures].[__No measures defined]" caption="__No measures defined" measure="1" displayFolder="" count="0" hidden="1"/>
    <cacheHierarchy uniqueName="[Measures].[Sum of Gross_Profit_AZN]" caption="Sum of Gross_Profit_AZN" measure="1" displayFolder="" measureGroup="Clean_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ross_Profit_AZN]" caption="Count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Sum of Revenue_AZN]" caption="Sum of Revenue_AZN" measure="1" displayFolder="" measureGroup="Clean_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Clean_Sales"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3">
    <dimension name="Clean_Sales" uniqueName="[Clean_Sales]" caption="Clean_Sales"/>
    <dimension measure="1" name="Measures" uniqueName="[Measures]" caption="Measures"/>
    <dimension name="QA_Zero_Quantity" uniqueName="[QA_Zero_Quantity]" caption="QA_Zero_Quantity"/>
  </dimensions>
  <measureGroups count="2">
    <measureGroup name="Clean_Sales" caption="Clean_Sales"/>
    <measureGroup name="QA_Zero_Quantity" caption="QA_Zero_Quantity"/>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vinc" refreshedDate="46278.705519791663" backgroundQuery="1" createdVersion="6" refreshedVersion="6" minRefreshableVersion="3" recordCount="0" supportSubquery="1" supportAdvancedDrill="1" xr:uid="{B52B0BA5-11B9-4517-AB8B-9EB76FD12C52}">
  <cacheSource type="external" connectionId="5"/>
  <cacheFields count="3">
    <cacheField name="[Measures].[Sum of Revenue_AZN]" caption="Sum of Revenue_AZN" numFmtId="0" hierarchy="38" level="32767"/>
    <cacheField name="[Clean_Sales].[Month].[Month]" caption="Month" numFmtId="0" hierarchy="1"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Clean_Sales].[Month].&amp;[1]"/>
            <x15:cachedUniqueName index="1" name="[Clean_Sales].[Month].&amp;[2]"/>
            <x15:cachedUniqueName index="2" name="[Clean_Sales].[Month].&amp;[3]"/>
            <x15:cachedUniqueName index="3" name="[Clean_Sales].[Month].&amp;[4]"/>
            <x15:cachedUniqueName index="4" name="[Clean_Sales].[Month].&amp;[5]"/>
            <x15:cachedUniqueName index="5" name="[Clean_Sales].[Month].&amp;[6]"/>
          </x15:cachedUniqueNames>
        </ext>
      </extLst>
    </cacheField>
    <cacheField name="[Clean_Sales].[City].[City]" caption="City" numFmtId="0" hierarchy="4" level="1">
      <sharedItems containsSemiMixedTypes="0" containsNonDate="0" containsString="0"/>
    </cacheField>
  </cacheFields>
  <cacheHierarchies count="40">
    <cacheHierarchy uniqueName="[Clean_Sales].[Order_ID]" caption="Order_ID" attribute="1" defaultMemberUniqueName="[Clean_Sales].[Order_ID].[All]" allUniqueName="[Clean_Sales].[Order_ID].[All]" dimensionUniqueName="[Clean_Sales]" displayFolder="" count="0" memberValueDatatype="130" unbalanced="0"/>
    <cacheHierarchy uniqueName="[Clean_Sales].[Month]" caption="Month" attribute="1" defaultMemberUniqueName="[Clean_Sales].[Month].[All]" allUniqueName="[Clean_Sales].[Month].[All]" dimensionUniqueName="[Clean_Sales]" displayFolder="" count="2" memberValueDatatype="20" unbalanced="0">
      <fieldsUsage count="2">
        <fieldUsage x="-1"/>
        <fieldUsage x="1"/>
      </fieldsUsage>
    </cacheHierarchy>
    <cacheHierarchy uniqueName="[Clean_Sales].[Order_Date]" caption="Order_Date" attribute="1" time="1" defaultMemberUniqueName="[Clean_Sales].[Order_Date].[All]" allUniqueName="[Clean_Sales].[Order_Date].[All]" dimensionUniqueName="[Clean_Sales]" displayFolder="" count="2" memberValueDatatype="7" unbalanced="0"/>
    <cacheHierarchy uniqueName="[Clean_Sales].[Customer_ID]" caption="Customer_ID" attribute="1" defaultMemberUniqueName="[Clean_Sales].[Customer_ID].[All]" allUniqueName="[Clean_Sales].[Customer_ID].[All]" dimensionUniqueName="[Clean_Sales]" displayFolder="" count="0" memberValueDatatype="130" unbalanced="0"/>
    <cacheHierarchy uniqueName="[Clean_Sales].[City]" caption="City" attribute="1" defaultMemberUniqueName="[Clean_Sales].[City].[All]" allUniqueName="[Clean_Sales].[City].[All]" dimensionUniqueName="[Clean_Sales]" displayFolder="" count="2" memberValueDatatype="130" unbalanced="0">
      <fieldsUsage count="2">
        <fieldUsage x="-1"/>
        <fieldUsage x="2"/>
      </fieldsUsage>
    </cacheHierarchy>
    <cacheHierarchy uniqueName="[Clean_Sales].[Product_ID]" caption="Product_ID" attribute="1" defaultMemberUniqueName="[Clean_Sales].[Product_ID].[All]" allUniqueName="[Clean_Sales].[Product_ID].[All]" dimensionUniqueName="[Clean_Sales]" displayFolder="" count="0" memberValueDatatype="130" unbalanced="0"/>
    <cacheHierarchy uniqueName="[Clean_Sales].[Product_Name]" caption="Product_Name" attribute="1" defaultMemberUniqueName="[Clean_Sales].[Product_Name].[All]" allUniqueName="[Clean_Sales].[Product_Name].[All]" dimensionUniqueName="[Clean_Sales]" displayFolder="" count="0" memberValueDatatype="130" unbalanced="0"/>
    <cacheHierarchy uniqueName="[Clean_Sales].[Category]" caption="Category" attribute="1" defaultMemberUniqueName="[Clean_Sales].[Category].[All]" allUniqueName="[Clean_Sales].[Category].[All]" dimensionUniqueName="[Clean_Sales]" displayFolder="" count="0" memberValueDatatype="130" unbalanced="0"/>
    <cacheHierarchy uniqueName="[Clean_Sales].[Quantity]" caption="Quantity" attribute="1" defaultMemberUniqueName="[Clean_Sales].[Quantity].[All]" allUniqueName="[Clean_Sales].[Quantity].[All]" dimensionUniqueName="[Clean_Sales]" displayFolder="" count="0" memberValueDatatype="20" unbalanced="0"/>
    <cacheHierarchy uniqueName="[Clean_Sales].[Unit_Price_AZN]" caption="Unit_Price_AZN" attribute="1" defaultMemberUniqueName="[Clean_Sales].[Unit_Price_AZN].[All]" allUniqueName="[Clean_Sales].[Unit_Price_AZN].[All]" dimensionUniqueName="[Clean_Sales]" displayFolder="" count="0" memberValueDatatype="20" unbalanced="0"/>
    <cacheHierarchy uniqueName="[Clean_Sales].[Unit_Cost_AZN]" caption="Unit_Cost_AZN" attribute="1" defaultMemberUniqueName="[Clean_Sales].[Unit_Cost_AZN].[All]" allUniqueName="[Clean_Sales].[Unit_Cost_AZN].[All]" dimensionUniqueName="[Clean_Sales]" displayFolder="" count="0" memberValueDatatype="20" unbalanced="0"/>
    <cacheHierarchy uniqueName="[Clean_Sales].[Discount_Rate]" caption="Discount_Rate" attribute="1" defaultMemberUniqueName="[Clean_Sales].[Discount_Rate].[All]" allUniqueName="[Clean_Sales].[Discount_Rate].[All]" dimensionUniqueName="[Clean_Sales]" displayFolder="" count="0" memberValueDatatype="5" unbalanced="0"/>
    <cacheHierarchy uniqueName="[Clean_Sales].[Sales_Channel]" caption="Sales_Channel" attribute="1" defaultMemberUniqueName="[Clean_Sales].[Sales_Channel].[All]" allUniqueName="[Clean_Sales].[Sales_Channel].[All]" dimensionUniqueName="[Clean_Sales]" displayFolder="" count="2" memberValueDatatype="130" unbalanced="0"/>
    <cacheHierarchy uniqueName="[Clean_Sales].[Status]" caption="Status" attribute="1" defaultMemberUniqueName="[Clean_Sales].[Status].[All]" allUniqueName="[Clean_Sales].[Status].[All]" dimensionUniqueName="[Clean_Sales]" displayFolder="" count="0" memberValueDatatype="130" unbalanced="0"/>
    <cacheHierarchy uniqueName="[Clean_Sales].[Unit_Cost_Filled_AZN]" caption="Unit_Cost_Filled_AZN" attribute="1" defaultMemberUniqueName="[Clean_Sales].[Unit_Cost_Filled_AZN].[All]" allUniqueName="[Clean_Sales].[Unit_Cost_Filled_AZN].[All]" dimensionUniqueName="[Clean_Sales]" displayFolder="" count="0" memberValueDatatype="20" unbalanced="0"/>
    <cacheHierarchy uniqueName="[Clean_Sales].[Revenue_AZN]" caption="Revenue_AZN" attribute="1" defaultMemberUniqueName="[Clean_Sales].[Revenue_AZN].[All]" allUniqueName="[Clean_Sales].[Revenue_AZN].[All]" dimensionUniqueName="[Clean_Sales]" displayFolder="" count="0" memberValueDatatype="5" unbalanced="0"/>
    <cacheHierarchy uniqueName="[Clean_Sales].[Total_Cost_AZN]" caption="Total_Cost_AZN" attribute="1" defaultMemberUniqueName="[Clean_Sales].[Total_Cost_AZN].[All]" allUniqueName="[Clean_Sales].[Total_Cost_AZN].[All]" dimensionUniqueName="[Clean_Sales]" displayFolder="" count="0" memberValueDatatype="20" unbalanced="0"/>
    <cacheHierarchy uniqueName="[Clean_Sales].[Gross_Profit_AZN]" caption="Gross_Profit_AZN" attribute="1" defaultMemberUniqueName="[Clean_Sales].[Gross_Profit_AZN].[All]" allUniqueName="[Clean_Sales].[Gross_Profit_AZN].[All]" dimensionUniqueName="[Clean_Sales]" displayFolder="" count="0" memberValueDatatype="5" unbalanced="0"/>
    <cacheHierarchy uniqueName="[Clean_Sales].[Gross_Margin]" caption="Gross_Margin" attribute="1" defaultMemberUniqueName="[Clean_Sales].[Gross_Margin].[All]" allUniqueName="[Clean_Sales].[Gross_Margin].[All]" dimensionUniqueName="[Clean_Sales]" displayFolder="" count="0" memberValueDatatype="5" unbalanced="0"/>
    <cacheHierarchy uniqueName="[QA_Zero_Quantity].[Order_ID]" caption="Order_ID" attribute="1" defaultMemberUniqueName="[QA_Zero_Quantity].[Order_ID].[All]" allUniqueName="[QA_Zero_Quantity].[Order_ID].[All]" dimensionUniqueName="[QA_Zero_Quantity]" displayFolder="" count="0" memberValueDatatype="130" unbalanced="0"/>
    <cacheHierarchy uniqueName="[QA_Zero_Quantity].[Order_Date]" caption="Order_Date" attribute="1" time="1" defaultMemberUniqueName="[QA_Zero_Quantity].[Order_Date].[All]" allUniqueName="[QA_Zero_Quantity].[Order_Date].[All]" dimensionUniqueName="[QA_Zero_Quantity]" displayFolder="" count="0" memberValueDatatype="7" unbalanced="0"/>
    <cacheHierarchy uniqueName="[QA_Zero_Quantity].[Customer_ID]" caption="Customer_ID" attribute="1" defaultMemberUniqueName="[QA_Zero_Quantity].[Customer_ID].[All]" allUniqueName="[QA_Zero_Quantity].[Customer_ID].[All]" dimensionUniqueName="[QA_Zero_Quantity]" displayFolder="" count="0" memberValueDatatype="130" unbalanced="0"/>
    <cacheHierarchy uniqueName="[QA_Zero_Quantity].[City]" caption="City" attribute="1" defaultMemberUniqueName="[QA_Zero_Quantity].[City].[All]" allUniqueName="[QA_Zero_Quantity].[City].[All]" dimensionUniqueName="[QA_Zero_Quantity]" displayFolder="" count="0" memberValueDatatype="130" unbalanced="0"/>
    <cacheHierarchy uniqueName="[QA_Zero_Quantity].[Product_ID]" caption="Product_ID" attribute="1" defaultMemberUniqueName="[QA_Zero_Quantity].[Product_ID].[All]" allUniqueName="[QA_Zero_Quantity].[Product_ID].[All]" dimensionUniqueName="[QA_Zero_Quantity]" displayFolder="" count="0" memberValueDatatype="130" unbalanced="0"/>
    <cacheHierarchy uniqueName="[QA_Zero_Quantity].[Product_Name]" caption="Product_Name" attribute="1" defaultMemberUniqueName="[QA_Zero_Quantity].[Product_Name].[All]" allUniqueName="[QA_Zero_Quantity].[Product_Name].[All]" dimensionUniqueName="[QA_Zero_Quantity]" displayFolder="" count="0" memberValueDatatype="130" unbalanced="0"/>
    <cacheHierarchy uniqueName="[QA_Zero_Quantity].[Category]" caption="Category" attribute="1" defaultMemberUniqueName="[QA_Zero_Quantity].[Category].[All]" allUniqueName="[QA_Zero_Quantity].[Category].[All]" dimensionUniqueName="[QA_Zero_Quantity]" displayFolder="" count="0" memberValueDatatype="130" unbalanced="0"/>
    <cacheHierarchy uniqueName="[QA_Zero_Quantity].[Quantity]" caption="Quantity" attribute="1" defaultMemberUniqueName="[QA_Zero_Quantity].[Quantity].[All]" allUniqueName="[QA_Zero_Quantity].[Quantity].[All]" dimensionUniqueName="[QA_Zero_Quantity]" displayFolder="" count="0" memberValueDatatype="20" unbalanced="0"/>
    <cacheHierarchy uniqueName="[QA_Zero_Quantity].[Unit_Price_AZN]" caption="Unit_Price_AZN" attribute="1" defaultMemberUniqueName="[QA_Zero_Quantity].[Unit_Price_AZN].[All]" allUniqueName="[QA_Zero_Quantity].[Unit_Price_AZN].[All]" dimensionUniqueName="[QA_Zero_Quantity]" displayFolder="" count="0" memberValueDatatype="5" unbalanced="0"/>
    <cacheHierarchy uniqueName="[QA_Zero_Quantity].[Unit_Cost_AZN]" caption="Unit_Cost_AZN" attribute="1" defaultMemberUniqueName="[QA_Zero_Quantity].[Unit_Cost_AZN].[All]" allUniqueName="[QA_Zero_Quantity].[Unit_Cost_AZN].[All]" dimensionUniqueName="[QA_Zero_Quantity]" displayFolder="" count="0" memberValueDatatype="5" unbalanced="0"/>
    <cacheHierarchy uniqueName="[QA_Zero_Quantity].[Discount_Rate]" caption="Discount_Rate" attribute="1" defaultMemberUniqueName="[QA_Zero_Quantity].[Discount_Rate].[All]" allUniqueName="[QA_Zero_Quantity].[Discount_Rate].[All]" dimensionUniqueName="[QA_Zero_Quantity]" displayFolder="" count="0" memberValueDatatype="5" unbalanced="0"/>
    <cacheHierarchy uniqueName="[QA_Zero_Quantity].[Sales_Channel]" caption="Sales_Channel" attribute="1" defaultMemberUniqueName="[QA_Zero_Quantity].[Sales_Channel].[All]" allUniqueName="[QA_Zero_Quantity].[Sales_Channel].[All]" dimensionUniqueName="[QA_Zero_Quantity]" displayFolder="" count="0" memberValueDatatype="130" unbalanced="0"/>
    <cacheHierarchy uniqueName="[QA_Zero_Quantity].[Status]" caption="Status" attribute="1" defaultMemberUniqueName="[QA_Zero_Quantity].[Status].[All]" allUniqueName="[QA_Zero_Quantity].[Status].[All]" dimensionUniqueName="[QA_Zero_Quantity]" displayFolder="" count="0" memberValueDatatype="130" unbalanced="0"/>
    <cacheHierarchy uniqueName="[QA_Zero_Quantity].[Unit_Cost_Filled_AZN]" caption="Unit_Cost_Filled_AZN" attribute="1" defaultMemberUniqueName="[QA_Zero_Quantity].[Unit_Cost_Filled_AZN].[All]" allUniqueName="[QA_Zero_Quantity].[Unit_Cost_Filled_AZN].[All]" dimensionUniqueName="[QA_Zero_Quantity]" displayFolder="" count="0" memberValueDatatype="5" unbalanced="0"/>
    <cacheHierarchy uniqueName="[Measures].[__XL_Count QA_Zero_Quantity]" caption="__XL_Count QA_Zero_Quantity" measure="1" displayFolder="" measureGroup="QA_Zero_Quantity" count="0" hidden="1"/>
    <cacheHierarchy uniqueName="[Measures].[__XL_Count Clean_Sales]" caption="__XL_Count Clean_Sales" measure="1" displayFolder="" measureGroup="Clean_Sales" count="0" hidden="1"/>
    <cacheHierarchy uniqueName="[Measures].[__No measures defined]" caption="__No measures defined" measure="1" displayFolder="" count="0" hidden="1"/>
    <cacheHierarchy uniqueName="[Measures].[Sum of Gross_Profit_AZN]" caption="Sum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Count of Gross_Profit_AZN]" caption="Count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Sum of Revenue_AZN]" caption="Sum of Revenue_AZN" measure="1" displayFolder="" measureGroup="Clean_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Clean_Sales" count="0" hidden="1">
      <extLst>
        <ext xmlns:x15="http://schemas.microsoft.com/office/spreadsheetml/2010/11/main" uri="{B97F6D7D-B522-45F9-BDA1-12C45D357490}">
          <x15:cacheHierarchy aggregatedColumn="0"/>
        </ext>
      </extLst>
    </cacheHierarchy>
  </cacheHierarchies>
  <kpis count="0"/>
  <dimensions count="3">
    <dimension name="Clean_Sales" uniqueName="[Clean_Sales]" caption="Clean_Sales"/>
    <dimension measure="1" name="Measures" uniqueName="[Measures]" caption="Measures"/>
    <dimension name="QA_Zero_Quantity" uniqueName="[QA_Zero_Quantity]" caption="QA_Zero_Quantity"/>
  </dimensions>
  <measureGroups count="2">
    <measureGroup name="Clean_Sales" caption="Clean_Sales"/>
    <measureGroup name="QA_Zero_Quantity" caption="QA_Zero_Quantity"/>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vinc" refreshedDate="46278.70552314815" backgroundQuery="1" createdVersion="6" refreshedVersion="6" minRefreshableVersion="3" recordCount="0" supportSubquery="1" supportAdvancedDrill="1" xr:uid="{913002BD-D02F-4854-9E70-58D193B19F3A}">
  <cacheSource type="external" connectionId="5"/>
  <cacheFields count="3">
    <cacheField name="[Measures].[Sum of Revenue_AZN]" caption="Sum of Revenue_AZN" numFmtId="0" hierarchy="38" level="32767"/>
    <cacheField name="[Clean_Sales].[Product_Name].[Product_Name]" caption="Product_Name" numFmtId="0" hierarchy="6" level="1">
      <sharedItems count="8">
        <s v="Chair"/>
        <s v="Desk"/>
        <s v="Headphones"/>
        <s v="Keyboard"/>
        <s v="Laptop"/>
        <s v="Monitor"/>
        <s v="Mouse"/>
        <s v="Printer"/>
      </sharedItems>
    </cacheField>
    <cacheField name="[Clean_Sales].[City].[City]" caption="City" numFmtId="0" hierarchy="4" level="1">
      <sharedItems containsSemiMixedTypes="0" containsNonDate="0" containsString="0"/>
    </cacheField>
  </cacheFields>
  <cacheHierarchies count="40">
    <cacheHierarchy uniqueName="[Clean_Sales].[Order_ID]" caption="Order_ID" attribute="1" defaultMemberUniqueName="[Clean_Sales].[Order_ID].[All]" allUniqueName="[Clean_Sales].[Order_ID].[All]" dimensionUniqueName="[Clean_Sales]" displayFolder="" count="2" memberValueDatatype="130" unbalanced="0"/>
    <cacheHierarchy uniqueName="[Clean_Sales].[Month]" caption="Month" attribute="1" defaultMemberUniqueName="[Clean_Sales].[Month].[All]" allUniqueName="[Clean_Sales].[Month].[All]" dimensionUniqueName="[Clean_Sales]" displayFolder="" count="2" memberValueDatatype="20" unbalanced="0"/>
    <cacheHierarchy uniqueName="[Clean_Sales].[Order_Date]" caption="Order_Date" attribute="1" time="1" defaultMemberUniqueName="[Clean_Sales].[Order_Date].[All]" allUniqueName="[Clean_Sales].[Order_Date].[All]" dimensionUniqueName="[Clean_Sales]" displayFolder="" count="2" memberValueDatatype="7" unbalanced="0"/>
    <cacheHierarchy uniqueName="[Clean_Sales].[Customer_ID]" caption="Customer_ID" attribute="1" defaultMemberUniqueName="[Clean_Sales].[Customer_ID].[All]" allUniqueName="[Clean_Sales].[Customer_ID].[All]" dimensionUniqueName="[Clean_Sales]" displayFolder="" count="2" memberValueDatatype="130" unbalanced="0"/>
    <cacheHierarchy uniqueName="[Clean_Sales].[City]" caption="City" attribute="1" defaultMemberUniqueName="[Clean_Sales].[City].[All]" allUniqueName="[Clean_Sales].[City].[All]" dimensionUniqueName="[Clean_Sales]" displayFolder="" count="2" memberValueDatatype="130" unbalanced="0">
      <fieldsUsage count="2">
        <fieldUsage x="-1"/>
        <fieldUsage x="2"/>
      </fieldsUsage>
    </cacheHierarchy>
    <cacheHierarchy uniqueName="[Clean_Sales].[Product_ID]" caption="Product_ID" attribute="1" defaultMemberUniqueName="[Clean_Sales].[Product_ID].[All]" allUniqueName="[Clean_Sales].[Product_ID].[All]" dimensionUniqueName="[Clean_Sales]" displayFolder="" count="2" memberValueDatatype="130" unbalanced="0"/>
    <cacheHierarchy uniqueName="[Clean_Sales].[Product_Name]" caption="Product_Name" attribute="1" defaultMemberUniqueName="[Clean_Sales].[Product_Name].[All]" allUniqueName="[Clean_Sales].[Product_Name].[All]" dimensionUniqueName="[Clean_Sales]" displayFolder="" count="2" memberValueDatatype="130" unbalanced="0">
      <fieldsUsage count="2">
        <fieldUsage x="-1"/>
        <fieldUsage x="1"/>
      </fieldsUsage>
    </cacheHierarchy>
    <cacheHierarchy uniqueName="[Clean_Sales].[Category]" caption="Category" attribute="1" defaultMemberUniqueName="[Clean_Sales].[Category].[All]" allUniqueName="[Clean_Sales].[Category].[All]" dimensionUniqueName="[Clean_Sales]" displayFolder="" count="2" memberValueDatatype="130" unbalanced="0"/>
    <cacheHierarchy uniqueName="[Clean_Sales].[Quantity]" caption="Quantity" attribute="1" defaultMemberUniqueName="[Clean_Sales].[Quantity].[All]" allUniqueName="[Clean_Sales].[Quantity].[All]" dimensionUniqueName="[Clean_Sales]" displayFolder="" count="2" memberValueDatatype="20" unbalanced="0"/>
    <cacheHierarchy uniqueName="[Clean_Sales].[Unit_Price_AZN]" caption="Unit_Price_AZN" attribute="1" defaultMemberUniqueName="[Clean_Sales].[Unit_Price_AZN].[All]" allUniqueName="[Clean_Sales].[Unit_Price_AZN].[All]" dimensionUniqueName="[Clean_Sales]" displayFolder="" count="2" memberValueDatatype="20" unbalanced="0"/>
    <cacheHierarchy uniqueName="[Clean_Sales].[Unit_Cost_AZN]" caption="Unit_Cost_AZN" attribute="1" defaultMemberUniqueName="[Clean_Sales].[Unit_Cost_AZN].[All]" allUniqueName="[Clean_Sales].[Unit_Cost_AZN].[All]" dimensionUniqueName="[Clean_Sales]" displayFolder="" count="2" memberValueDatatype="20" unbalanced="0"/>
    <cacheHierarchy uniqueName="[Clean_Sales].[Discount_Rate]" caption="Discount_Rate" attribute="1" defaultMemberUniqueName="[Clean_Sales].[Discount_Rate].[All]" allUniqueName="[Clean_Sales].[Discount_Rate].[All]" dimensionUniqueName="[Clean_Sales]" displayFolder="" count="2" memberValueDatatype="5" unbalanced="0"/>
    <cacheHierarchy uniqueName="[Clean_Sales].[Sales_Channel]" caption="Sales_Channel" attribute="1" defaultMemberUniqueName="[Clean_Sales].[Sales_Channel].[All]" allUniqueName="[Clean_Sales].[Sales_Channel].[All]" dimensionUniqueName="[Clean_Sales]" displayFolder="" count="2" memberValueDatatype="130" unbalanced="0"/>
    <cacheHierarchy uniqueName="[Clean_Sales].[Status]" caption="Status" attribute="1" defaultMemberUniqueName="[Clean_Sales].[Status].[All]" allUniqueName="[Clean_Sales].[Status].[All]" dimensionUniqueName="[Clean_Sales]" displayFolder="" count="2" memberValueDatatype="130" unbalanced="0"/>
    <cacheHierarchy uniqueName="[Clean_Sales].[Unit_Cost_Filled_AZN]" caption="Unit_Cost_Filled_AZN" attribute="1" defaultMemberUniqueName="[Clean_Sales].[Unit_Cost_Filled_AZN].[All]" allUniqueName="[Clean_Sales].[Unit_Cost_Filled_AZN].[All]" dimensionUniqueName="[Clean_Sales]" displayFolder="" count="2" memberValueDatatype="20" unbalanced="0"/>
    <cacheHierarchy uniqueName="[Clean_Sales].[Revenue_AZN]" caption="Revenue_AZN" attribute="1" defaultMemberUniqueName="[Clean_Sales].[Revenue_AZN].[All]" allUniqueName="[Clean_Sales].[Revenue_AZN].[All]" dimensionUniqueName="[Clean_Sales]" displayFolder="" count="2" memberValueDatatype="5" unbalanced="0"/>
    <cacheHierarchy uniqueName="[Clean_Sales].[Total_Cost_AZN]" caption="Total_Cost_AZN" attribute="1" defaultMemberUniqueName="[Clean_Sales].[Total_Cost_AZN].[All]" allUniqueName="[Clean_Sales].[Total_Cost_AZN].[All]" dimensionUniqueName="[Clean_Sales]" displayFolder="" count="2" memberValueDatatype="20" unbalanced="0"/>
    <cacheHierarchy uniqueName="[Clean_Sales].[Gross_Profit_AZN]" caption="Gross_Profit_AZN" attribute="1" defaultMemberUniqueName="[Clean_Sales].[Gross_Profit_AZN].[All]" allUniqueName="[Clean_Sales].[Gross_Profit_AZN].[All]" dimensionUniqueName="[Clean_Sales]" displayFolder="" count="2" memberValueDatatype="5" unbalanced="0"/>
    <cacheHierarchy uniqueName="[Clean_Sales].[Gross_Margin]" caption="Gross_Margin" attribute="1" defaultMemberUniqueName="[Clean_Sales].[Gross_Margin].[All]" allUniqueName="[Clean_Sales].[Gross_Margin].[All]" dimensionUniqueName="[Clean_Sales]" displayFolder="" count="2" memberValueDatatype="5" unbalanced="0"/>
    <cacheHierarchy uniqueName="[QA_Zero_Quantity].[Order_ID]" caption="Order_ID" attribute="1" defaultMemberUniqueName="[QA_Zero_Quantity].[Order_ID].[All]" allUniqueName="[QA_Zero_Quantity].[Order_ID].[All]" dimensionUniqueName="[QA_Zero_Quantity]" displayFolder="" count="2" memberValueDatatype="130" unbalanced="0"/>
    <cacheHierarchy uniqueName="[QA_Zero_Quantity].[Order_Date]" caption="Order_Date" attribute="1" time="1" defaultMemberUniqueName="[QA_Zero_Quantity].[Order_Date].[All]" allUniqueName="[QA_Zero_Quantity].[Order_Date].[All]" dimensionUniqueName="[QA_Zero_Quantity]" displayFolder="" count="2" memberValueDatatype="7" unbalanced="0"/>
    <cacheHierarchy uniqueName="[QA_Zero_Quantity].[Customer_ID]" caption="Customer_ID" attribute="1" defaultMemberUniqueName="[QA_Zero_Quantity].[Customer_ID].[All]" allUniqueName="[QA_Zero_Quantity].[Customer_ID].[All]" dimensionUniqueName="[QA_Zero_Quantity]" displayFolder="" count="2" memberValueDatatype="130" unbalanced="0"/>
    <cacheHierarchy uniqueName="[QA_Zero_Quantity].[City]" caption="City" attribute="1" defaultMemberUniqueName="[QA_Zero_Quantity].[City].[All]" allUniqueName="[QA_Zero_Quantity].[City].[All]" dimensionUniqueName="[QA_Zero_Quantity]" displayFolder="" count="2" memberValueDatatype="130" unbalanced="0"/>
    <cacheHierarchy uniqueName="[QA_Zero_Quantity].[Product_ID]" caption="Product_ID" attribute="1" defaultMemberUniqueName="[QA_Zero_Quantity].[Product_ID].[All]" allUniqueName="[QA_Zero_Quantity].[Product_ID].[All]" dimensionUniqueName="[QA_Zero_Quantity]" displayFolder="" count="2" memberValueDatatype="130" unbalanced="0"/>
    <cacheHierarchy uniqueName="[QA_Zero_Quantity].[Product_Name]" caption="Product_Name" attribute="1" defaultMemberUniqueName="[QA_Zero_Quantity].[Product_Name].[All]" allUniqueName="[QA_Zero_Quantity].[Product_Name].[All]" dimensionUniqueName="[QA_Zero_Quantity]" displayFolder="" count="2" memberValueDatatype="130" unbalanced="0"/>
    <cacheHierarchy uniqueName="[QA_Zero_Quantity].[Category]" caption="Category" attribute="1" defaultMemberUniqueName="[QA_Zero_Quantity].[Category].[All]" allUniqueName="[QA_Zero_Quantity].[Category].[All]" dimensionUniqueName="[QA_Zero_Quantity]" displayFolder="" count="2" memberValueDatatype="130" unbalanced="0"/>
    <cacheHierarchy uniqueName="[QA_Zero_Quantity].[Quantity]" caption="Quantity" attribute="1" defaultMemberUniqueName="[QA_Zero_Quantity].[Quantity].[All]" allUniqueName="[QA_Zero_Quantity].[Quantity].[All]" dimensionUniqueName="[QA_Zero_Quantity]" displayFolder="" count="2" memberValueDatatype="20" unbalanced="0"/>
    <cacheHierarchy uniqueName="[QA_Zero_Quantity].[Unit_Price_AZN]" caption="Unit_Price_AZN" attribute="1" defaultMemberUniqueName="[QA_Zero_Quantity].[Unit_Price_AZN].[All]" allUniqueName="[QA_Zero_Quantity].[Unit_Price_AZN].[All]" dimensionUniqueName="[QA_Zero_Quantity]" displayFolder="" count="2" memberValueDatatype="5" unbalanced="0"/>
    <cacheHierarchy uniqueName="[QA_Zero_Quantity].[Unit_Cost_AZN]" caption="Unit_Cost_AZN" attribute="1" defaultMemberUniqueName="[QA_Zero_Quantity].[Unit_Cost_AZN].[All]" allUniqueName="[QA_Zero_Quantity].[Unit_Cost_AZN].[All]" dimensionUniqueName="[QA_Zero_Quantity]" displayFolder="" count="2" memberValueDatatype="5" unbalanced="0"/>
    <cacheHierarchy uniqueName="[QA_Zero_Quantity].[Discount_Rate]" caption="Discount_Rate" attribute="1" defaultMemberUniqueName="[QA_Zero_Quantity].[Discount_Rate].[All]" allUniqueName="[QA_Zero_Quantity].[Discount_Rate].[All]" dimensionUniqueName="[QA_Zero_Quantity]" displayFolder="" count="2" memberValueDatatype="5" unbalanced="0"/>
    <cacheHierarchy uniqueName="[QA_Zero_Quantity].[Sales_Channel]" caption="Sales_Channel" attribute="1" defaultMemberUniqueName="[QA_Zero_Quantity].[Sales_Channel].[All]" allUniqueName="[QA_Zero_Quantity].[Sales_Channel].[All]" dimensionUniqueName="[QA_Zero_Quantity]" displayFolder="" count="2" memberValueDatatype="130" unbalanced="0"/>
    <cacheHierarchy uniqueName="[QA_Zero_Quantity].[Status]" caption="Status" attribute="1" defaultMemberUniqueName="[QA_Zero_Quantity].[Status].[All]" allUniqueName="[QA_Zero_Quantity].[Status].[All]" dimensionUniqueName="[QA_Zero_Quantity]" displayFolder="" count="2" memberValueDatatype="130" unbalanced="0"/>
    <cacheHierarchy uniqueName="[QA_Zero_Quantity].[Unit_Cost_Filled_AZN]" caption="Unit_Cost_Filled_AZN" attribute="1" defaultMemberUniqueName="[QA_Zero_Quantity].[Unit_Cost_Filled_AZN].[All]" allUniqueName="[QA_Zero_Quantity].[Unit_Cost_Filled_AZN].[All]" dimensionUniqueName="[QA_Zero_Quantity]" displayFolder="" count="2" memberValueDatatype="5" unbalanced="0"/>
    <cacheHierarchy uniqueName="[Measures].[__XL_Count QA_Zero_Quantity]" caption="__XL_Count QA_Zero_Quantity" measure="1" displayFolder="" measureGroup="QA_Zero_Quantity" count="0" hidden="1"/>
    <cacheHierarchy uniqueName="[Measures].[__XL_Count Clean_Sales]" caption="__XL_Count Clean_Sales" measure="1" displayFolder="" measureGroup="Clean_Sales" count="0" hidden="1"/>
    <cacheHierarchy uniqueName="[Measures].[__No measures defined]" caption="__No measures defined" measure="1" displayFolder="" count="0" hidden="1"/>
    <cacheHierarchy uniqueName="[Measures].[Sum of Gross_Profit_AZN]" caption="Sum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Count of Gross_Profit_AZN]" caption="Count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Sum of Revenue_AZN]" caption="Sum of Revenue_AZN" measure="1" displayFolder="" measureGroup="Clean_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Clean_Sales" count="0" hidden="1">
      <extLst>
        <ext xmlns:x15="http://schemas.microsoft.com/office/spreadsheetml/2010/11/main" uri="{B97F6D7D-B522-45F9-BDA1-12C45D357490}">
          <x15:cacheHierarchy aggregatedColumn="0"/>
        </ext>
      </extLst>
    </cacheHierarchy>
  </cacheHierarchies>
  <kpis count="0"/>
  <dimensions count="3">
    <dimension name="Clean_Sales" uniqueName="[Clean_Sales]" caption="Clean_Sales"/>
    <dimension measure="1" name="Measures" uniqueName="[Measures]" caption="Measures"/>
    <dimension name="QA_Zero_Quantity" uniqueName="[QA_Zero_Quantity]" caption="QA_Zero_Quantity"/>
  </dimensions>
  <measureGroups count="2">
    <measureGroup name="Clean_Sales" caption="Clean_Sales"/>
    <measureGroup name="QA_Zero_Quantity" caption="QA_Zero_Quantity"/>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vinc" refreshedDate="46278.705523495373" backgroundQuery="1" createdVersion="6" refreshedVersion="6" minRefreshableVersion="3" recordCount="0" supportSubquery="1" supportAdvancedDrill="1" xr:uid="{F9B5B7C3-1789-480C-BD04-F03C74D0CEC0}">
  <cacheSource type="external" connectionId="5"/>
  <cacheFields count="4">
    <cacheField name="[Clean_Sales].[Category].[Category]" caption="Category" numFmtId="0" hierarchy="7" level="1">
      <sharedItems count="3">
        <s v="Accessories"/>
        <s v="Electronics"/>
        <s v="Furniture"/>
      </sharedItems>
    </cacheField>
    <cacheField name="[Measures].[Sum of Gross_Profit_AZN]" caption="Sum of Gross_Profit_AZN" numFmtId="0" hierarchy="36" level="32767"/>
    <cacheField name="[Clean_Sales].[Month].[Month]" caption="Month" numFmtId="0" hierarchy="1"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Clean_Sales].[Month].&amp;[1]"/>
            <x15:cachedUniqueName index="1" name="[Clean_Sales].[Month].&amp;[2]"/>
            <x15:cachedUniqueName index="2" name="[Clean_Sales].[Month].&amp;[3]"/>
            <x15:cachedUniqueName index="3" name="[Clean_Sales].[Month].&amp;[4]"/>
            <x15:cachedUniqueName index="4" name="[Clean_Sales].[Month].&amp;[5]"/>
            <x15:cachedUniqueName index="5" name="[Clean_Sales].[Month].&amp;[6]"/>
          </x15:cachedUniqueNames>
        </ext>
      </extLst>
    </cacheField>
    <cacheField name="[Clean_Sales].[City].[City]" caption="City" numFmtId="0" hierarchy="4" level="1">
      <sharedItems containsSemiMixedTypes="0" containsNonDate="0" containsString="0"/>
    </cacheField>
  </cacheFields>
  <cacheHierarchies count="40">
    <cacheHierarchy uniqueName="[Clean_Sales].[Order_ID]" caption="Order_ID" attribute="1" defaultMemberUniqueName="[Clean_Sales].[Order_ID].[All]" allUniqueName="[Clean_Sales].[Order_ID].[All]" dimensionUniqueName="[Clean_Sales]" displayFolder="" count="0" memberValueDatatype="130" unbalanced="0"/>
    <cacheHierarchy uniqueName="[Clean_Sales].[Month]" caption="Month" attribute="1" defaultMemberUniqueName="[Clean_Sales].[Month].[All]" allUniqueName="[Clean_Sales].[Month].[All]" dimensionUniqueName="[Clean_Sales]" displayFolder="" count="2" memberValueDatatype="20" unbalanced="0">
      <fieldsUsage count="2">
        <fieldUsage x="-1"/>
        <fieldUsage x="2"/>
      </fieldsUsage>
    </cacheHierarchy>
    <cacheHierarchy uniqueName="[Clean_Sales].[Order_Date]" caption="Order_Date" attribute="1" time="1" defaultMemberUniqueName="[Clean_Sales].[Order_Date].[All]" allUniqueName="[Clean_Sales].[Order_Date].[All]" dimensionUniqueName="[Clean_Sales]" displayFolder="" count="0" memberValueDatatype="7" unbalanced="0"/>
    <cacheHierarchy uniqueName="[Clean_Sales].[Customer_ID]" caption="Customer_ID" attribute="1" defaultMemberUniqueName="[Clean_Sales].[Customer_ID].[All]" allUniqueName="[Clean_Sales].[Customer_ID].[All]" dimensionUniqueName="[Clean_Sales]" displayFolder="" count="0" memberValueDatatype="130" unbalanced="0"/>
    <cacheHierarchy uniqueName="[Clean_Sales].[City]" caption="City" attribute="1" defaultMemberUniqueName="[Clean_Sales].[City].[All]" allUniqueName="[Clean_Sales].[City].[All]" dimensionUniqueName="[Clean_Sales]" displayFolder="" count="2" memberValueDatatype="130" unbalanced="0">
      <fieldsUsage count="2">
        <fieldUsage x="-1"/>
        <fieldUsage x="3"/>
      </fieldsUsage>
    </cacheHierarchy>
    <cacheHierarchy uniqueName="[Clean_Sales].[Product_ID]" caption="Product_ID" attribute="1" defaultMemberUniqueName="[Clean_Sales].[Product_ID].[All]" allUniqueName="[Clean_Sales].[Product_ID].[All]" dimensionUniqueName="[Clean_Sales]" displayFolder="" count="0" memberValueDatatype="130" unbalanced="0"/>
    <cacheHierarchy uniqueName="[Clean_Sales].[Product_Name]" caption="Product_Name" attribute="1" defaultMemberUniqueName="[Clean_Sales].[Product_Name].[All]" allUniqueName="[Clean_Sales].[Product_Name].[All]" dimensionUniqueName="[Clean_Sales]" displayFolder="" count="0" memberValueDatatype="130" unbalanced="0"/>
    <cacheHierarchy uniqueName="[Clean_Sales].[Category]" caption="Category" attribute="1" defaultMemberUniqueName="[Clean_Sales].[Category].[All]" allUniqueName="[Clean_Sales].[Category].[All]" dimensionUniqueName="[Clean_Sales]" displayFolder="" count="2" memberValueDatatype="130" unbalanced="0">
      <fieldsUsage count="2">
        <fieldUsage x="-1"/>
        <fieldUsage x="0"/>
      </fieldsUsage>
    </cacheHierarchy>
    <cacheHierarchy uniqueName="[Clean_Sales].[Quantity]" caption="Quantity" attribute="1" defaultMemberUniqueName="[Clean_Sales].[Quantity].[All]" allUniqueName="[Clean_Sales].[Quantity].[All]" dimensionUniqueName="[Clean_Sales]" displayFolder="" count="0" memberValueDatatype="20" unbalanced="0"/>
    <cacheHierarchy uniqueName="[Clean_Sales].[Unit_Price_AZN]" caption="Unit_Price_AZN" attribute="1" defaultMemberUniqueName="[Clean_Sales].[Unit_Price_AZN].[All]" allUniqueName="[Clean_Sales].[Unit_Price_AZN].[All]" dimensionUniqueName="[Clean_Sales]" displayFolder="" count="0" memberValueDatatype="20" unbalanced="0"/>
    <cacheHierarchy uniqueName="[Clean_Sales].[Unit_Cost_AZN]" caption="Unit_Cost_AZN" attribute="1" defaultMemberUniqueName="[Clean_Sales].[Unit_Cost_AZN].[All]" allUniqueName="[Clean_Sales].[Unit_Cost_AZN].[All]" dimensionUniqueName="[Clean_Sales]" displayFolder="" count="0" memberValueDatatype="20" unbalanced="0"/>
    <cacheHierarchy uniqueName="[Clean_Sales].[Discount_Rate]" caption="Discount_Rate" attribute="1" defaultMemberUniqueName="[Clean_Sales].[Discount_Rate].[All]" allUniqueName="[Clean_Sales].[Discount_Rate].[All]" dimensionUniqueName="[Clean_Sales]" displayFolder="" count="0" memberValueDatatype="5" unbalanced="0"/>
    <cacheHierarchy uniqueName="[Clean_Sales].[Sales_Channel]" caption="Sales_Channel" attribute="1" defaultMemberUniqueName="[Clean_Sales].[Sales_Channel].[All]" allUniqueName="[Clean_Sales].[Sales_Channel].[All]" dimensionUniqueName="[Clean_Sales]" displayFolder="" count="2" memberValueDatatype="130" unbalanced="0"/>
    <cacheHierarchy uniqueName="[Clean_Sales].[Status]" caption="Status" attribute="1" defaultMemberUniqueName="[Clean_Sales].[Status].[All]" allUniqueName="[Clean_Sales].[Status].[All]" dimensionUniqueName="[Clean_Sales]" displayFolder="" count="0" memberValueDatatype="130" unbalanced="0"/>
    <cacheHierarchy uniqueName="[Clean_Sales].[Unit_Cost_Filled_AZN]" caption="Unit_Cost_Filled_AZN" attribute="1" defaultMemberUniqueName="[Clean_Sales].[Unit_Cost_Filled_AZN].[All]" allUniqueName="[Clean_Sales].[Unit_Cost_Filled_AZN].[All]" dimensionUniqueName="[Clean_Sales]" displayFolder="" count="0" memberValueDatatype="20" unbalanced="0"/>
    <cacheHierarchy uniqueName="[Clean_Sales].[Revenue_AZN]" caption="Revenue_AZN" attribute="1" defaultMemberUniqueName="[Clean_Sales].[Revenue_AZN].[All]" allUniqueName="[Clean_Sales].[Revenue_AZN].[All]" dimensionUniqueName="[Clean_Sales]" displayFolder="" count="0" memberValueDatatype="5" unbalanced="0"/>
    <cacheHierarchy uniqueName="[Clean_Sales].[Total_Cost_AZN]" caption="Total_Cost_AZN" attribute="1" defaultMemberUniqueName="[Clean_Sales].[Total_Cost_AZN].[All]" allUniqueName="[Clean_Sales].[Total_Cost_AZN].[All]" dimensionUniqueName="[Clean_Sales]" displayFolder="" count="0" memberValueDatatype="20" unbalanced="0"/>
    <cacheHierarchy uniqueName="[Clean_Sales].[Gross_Profit_AZN]" caption="Gross_Profit_AZN" attribute="1" defaultMemberUniqueName="[Clean_Sales].[Gross_Profit_AZN].[All]" allUniqueName="[Clean_Sales].[Gross_Profit_AZN].[All]" dimensionUniqueName="[Clean_Sales]" displayFolder="" count="0" memberValueDatatype="5" unbalanced="0"/>
    <cacheHierarchy uniqueName="[Clean_Sales].[Gross_Margin]" caption="Gross_Margin" attribute="1" defaultMemberUniqueName="[Clean_Sales].[Gross_Margin].[All]" allUniqueName="[Clean_Sales].[Gross_Margin].[All]" dimensionUniqueName="[Clean_Sales]" displayFolder="" count="0" memberValueDatatype="5" unbalanced="0"/>
    <cacheHierarchy uniqueName="[QA_Zero_Quantity].[Order_ID]" caption="Order_ID" attribute="1" defaultMemberUniqueName="[QA_Zero_Quantity].[Order_ID].[All]" allUniqueName="[QA_Zero_Quantity].[Order_ID].[All]" dimensionUniqueName="[QA_Zero_Quantity]" displayFolder="" count="0" memberValueDatatype="130" unbalanced="0"/>
    <cacheHierarchy uniqueName="[QA_Zero_Quantity].[Order_Date]" caption="Order_Date" attribute="1" time="1" defaultMemberUniqueName="[QA_Zero_Quantity].[Order_Date].[All]" allUniqueName="[QA_Zero_Quantity].[Order_Date].[All]" dimensionUniqueName="[QA_Zero_Quantity]" displayFolder="" count="0" memberValueDatatype="7" unbalanced="0"/>
    <cacheHierarchy uniqueName="[QA_Zero_Quantity].[Customer_ID]" caption="Customer_ID" attribute="1" defaultMemberUniqueName="[QA_Zero_Quantity].[Customer_ID].[All]" allUniqueName="[QA_Zero_Quantity].[Customer_ID].[All]" dimensionUniqueName="[QA_Zero_Quantity]" displayFolder="" count="0" memberValueDatatype="130" unbalanced="0"/>
    <cacheHierarchy uniqueName="[QA_Zero_Quantity].[City]" caption="City" attribute="1" defaultMemberUniqueName="[QA_Zero_Quantity].[City].[All]" allUniqueName="[QA_Zero_Quantity].[City].[All]" dimensionUniqueName="[QA_Zero_Quantity]" displayFolder="" count="0" memberValueDatatype="130" unbalanced="0"/>
    <cacheHierarchy uniqueName="[QA_Zero_Quantity].[Product_ID]" caption="Product_ID" attribute="1" defaultMemberUniqueName="[QA_Zero_Quantity].[Product_ID].[All]" allUniqueName="[QA_Zero_Quantity].[Product_ID].[All]" dimensionUniqueName="[QA_Zero_Quantity]" displayFolder="" count="0" memberValueDatatype="130" unbalanced="0"/>
    <cacheHierarchy uniqueName="[QA_Zero_Quantity].[Product_Name]" caption="Product_Name" attribute="1" defaultMemberUniqueName="[QA_Zero_Quantity].[Product_Name].[All]" allUniqueName="[QA_Zero_Quantity].[Product_Name].[All]" dimensionUniqueName="[QA_Zero_Quantity]" displayFolder="" count="0" memberValueDatatype="130" unbalanced="0"/>
    <cacheHierarchy uniqueName="[QA_Zero_Quantity].[Category]" caption="Category" attribute="1" defaultMemberUniqueName="[QA_Zero_Quantity].[Category].[All]" allUniqueName="[QA_Zero_Quantity].[Category].[All]" dimensionUniqueName="[QA_Zero_Quantity]" displayFolder="" count="0" memberValueDatatype="130" unbalanced="0"/>
    <cacheHierarchy uniqueName="[QA_Zero_Quantity].[Quantity]" caption="Quantity" attribute="1" defaultMemberUniqueName="[QA_Zero_Quantity].[Quantity].[All]" allUniqueName="[QA_Zero_Quantity].[Quantity].[All]" dimensionUniqueName="[QA_Zero_Quantity]" displayFolder="" count="0" memberValueDatatype="20" unbalanced="0"/>
    <cacheHierarchy uniqueName="[QA_Zero_Quantity].[Unit_Price_AZN]" caption="Unit_Price_AZN" attribute="1" defaultMemberUniqueName="[QA_Zero_Quantity].[Unit_Price_AZN].[All]" allUniqueName="[QA_Zero_Quantity].[Unit_Price_AZN].[All]" dimensionUniqueName="[QA_Zero_Quantity]" displayFolder="" count="0" memberValueDatatype="5" unbalanced="0"/>
    <cacheHierarchy uniqueName="[QA_Zero_Quantity].[Unit_Cost_AZN]" caption="Unit_Cost_AZN" attribute="1" defaultMemberUniqueName="[QA_Zero_Quantity].[Unit_Cost_AZN].[All]" allUniqueName="[QA_Zero_Quantity].[Unit_Cost_AZN].[All]" dimensionUniqueName="[QA_Zero_Quantity]" displayFolder="" count="0" memberValueDatatype="5" unbalanced="0"/>
    <cacheHierarchy uniqueName="[QA_Zero_Quantity].[Discount_Rate]" caption="Discount_Rate" attribute="1" defaultMemberUniqueName="[QA_Zero_Quantity].[Discount_Rate].[All]" allUniqueName="[QA_Zero_Quantity].[Discount_Rate].[All]" dimensionUniqueName="[QA_Zero_Quantity]" displayFolder="" count="0" memberValueDatatype="5" unbalanced="0"/>
    <cacheHierarchy uniqueName="[QA_Zero_Quantity].[Sales_Channel]" caption="Sales_Channel" attribute="1" defaultMemberUniqueName="[QA_Zero_Quantity].[Sales_Channel].[All]" allUniqueName="[QA_Zero_Quantity].[Sales_Channel].[All]" dimensionUniqueName="[QA_Zero_Quantity]" displayFolder="" count="0" memberValueDatatype="130" unbalanced="0"/>
    <cacheHierarchy uniqueName="[QA_Zero_Quantity].[Status]" caption="Status" attribute="1" defaultMemberUniqueName="[QA_Zero_Quantity].[Status].[All]" allUniqueName="[QA_Zero_Quantity].[Status].[All]" dimensionUniqueName="[QA_Zero_Quantity]" displayFolder="" count="0" memberValueDatatype="130" unbalanced="0"/>
    <cacheHierarchy uniqueName="[QA_Zero_Quantity].[Unit_Cost_Filled_AZN]" caption="Unit_Cost_Filled_AZN" attribute="1" defaultMemberUniqueName="[QA_Zero_Quantity].[Unit_Cost_Filled_AZN].[All]" allUniqueName="[QA_Zero_Quantity].[Unit_Cost_Filled_AZN].[All]" dimensionUniqueName="[QA_Zero_Quantity]" displayFolder="" count="0" memberValueDatatype="5" unbalanced="0"/>
    <cacheHierarchy uniqueName="[Measures].[__XL_Count QA_Zero_Quantity]" caption="__XL_Count QA_Zero_Quantity" measure="1" displayFolder="" measureGroup="QA_Zero_Quantity" count="0" hidden="1"/>
    <cacheHierarchy uniqueName="[Measures].[__XL_Count Clean_Sales]" caption="__XL_Count Clean_Sales" measure="1" displayFolder="" measureGroup="Clean_Sales" count="0" hidden="1"/>
    <cacheHierarchy uniqueName="[Measures].[__No measures defined]" caption="__No measures defined" measure="1" displayFolder="" count="0" hidden="1"/>
    <cacheHierarchy uniqueName="[Measures].[Sum of Gross_Profit_AZN]" caption="Sum of Gross_Profit_AZN" measure="1" displayFolder="" measureGroup="Clean_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ross_Profit_AZN]" caption="Count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Sum of Revenue_AZN]" caption="Sum of Revenue_AZN" measure="1" displayFolder="" measureGroup="Clean_Sale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Clean_Sales" count="0" hidden="1">
      <extLst>
        <ext xmlns:x15="http://schemas.microsoft.com/office/spreadsheetml/2010/11/main" uri="{B97F6D7D-B522-45F9-BDA1-12C45D357490}">
          <x15:cacheHierarchy aggregatedColumn="0"/>
        </ext>
      </extLst>
    </cacheHierarchy>
  </cacheHierarchies>
  <kpis count="0"/>
  <dimensions count="3">
    <dimension name="Clean_Sales" uniqueName="[Clean_Sales]" caption="Clean_Sales"/>
    <dimension measure="1" name="Measures" uniqueName="[Measures]" caption="Measures"/>
    <dimension name="QA_Zero_Quantity" uniqueName="[QA_Zero_Quantity]" caption="QA_Zero_Quantity"/>
  </dimensions>
  <measureGroups count="2">
    <measureGroup name="Clean_Sales" caption="Clean_Sales"/>
    <measureGroup name="QA_Zero_Quantity" caption="QA_Zero_Quantity"/>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vinc" refreshedDate="46278.651818865743" backgroundQuery="1" createdVersion="3" refreshedVersion="6" minRefreshableVersion="3" recordCount="0" supportSubquery="1" supportAdvancedDrill="1" xr:uid="{1C10232C-22DB-4419-8996-63545A36C356}">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Clean_Sales].[Order_ID]" caption="Order_ID" attribute="1" defaultMemberUniqueName="[Clean_Sales].[Order_ID].[All]" allUniqueName="[Clean_Sales].[Order_ID].[All]" dimensionUniqueName="[Clean_Sales]" displayFolder="" count="0" memberValueDatatype="130" unbalanced="0"/>
    <cacheHierarchy uniqueName="[Clean_Sales].[Month]" caption="Month" attribute="1" defaultMemberUniqueName="[Clean_Sales].[Month].[All]" allUniqueName="[Clean_Sales].[Month].[All]" dimensionUniqueName="[Clean_Sales]" displayFolder="" count="0" memberValueDatatype="20" unbalanced="0"/>
    <cacheHierarchy uniqueName="[Clean_Sales].[Order_Date]" caption="Order_Date" attribute="1" time="1" defaultMemberUniqueName="[Clean_Sales].[Order_Date].[All]" allUniqueName="[Clean_Sales].[Order_Date].[All]" dimensionUniqueName="[Clean_Sales]" displayFolder="" count="0" memberValueDatatype="7" unbalanced="0"/>
    <cacheHierarchy uniqueName="[Clean_Sales].[Customer_ID]" caption="Customer_ID" attribute="1" defaultMemberUniqueName="[Clean_Sales].[Customer_ID].[All]" allUniqueName="[Clean_Sales].[Customer_ID].[All]" dimensionUniqueName="[Clean_Sales]" displayFolder="" count="0" memberValueDatatype="130" unbalanced="0"/>
    <cacheHierarchy uniqueName="[Clean_Sales].[City]" caption="City" attribute="1" defaultMemberUniqueName="[Clean_Sales].[City].[All]" allUniqueName="[Clean_Sales].[City].[All]" dimensionUniqueName="[Clean_Sales]" displayFolder="" count="2" memberValueDatatype="130" unbalanced="0"/>
    <cacheHierarchy uniqueName="[Clean_Sales].[Product_ID]" caption="Product_ID" attribute="1" defaultMemberUniqueName="[Clean_Sales].[Product_ID].[All]" allUniqueName="[Clean_Sales].[Product_ID].[All]" dimensionUniqueName="[Clean_Sales]" displayFolder="" count="0" memberValueDatatype="130" unbalanced="0"/>
    <cacheHierarchy uniqueName="[Clean_Sales].[Product_Name]" caption="Product_Name" attribute="1" defaultMemberUniqueName="[Clean_Sales].[Product_Name].[All]" allUniqueName="[Clean_Sales].[Product_Name].[All]" dimensionUniqueName="[Clean_Sales]" displayFolder="" count="0" memberValueDatatype="130" unbalanced="0"/>
    <cacheHierarchy uniqueName="[Clean_Sales].[Category]" caption="Category" attribute="1" defaultMemberUniqueName="[Clean_Sales].[Category].[All]" allUniqueName="[Clean_Sales].[Category].[All]" dimensionUniqueName="[Clean_Sales]" displayFolder="" count="0" memberValueDatatype="130" unbalanced="0"/>
    <cacheHierarchy uniqueName="[Clean_Sales].[Quantity]" caption="Quantity" attribute="1" defaultMemberUniqueName="[Clean_Sales].[Quantity].[All]" allUniqueName="[Clean_Sales].[Quantity].[All]" dimensionUniqueName="[Clean_Sales]" displayFolder="" count="0" memberValueDatatype="20" unbalanced="0"/>
    <cacheHierarchy uniqueName="[Clean_Sales].[Unit_Price_AZN]" caption="Unit_Price_AZN" attribute="1" defaultMemberUniqueName="[Clean_Sales].[Unit_Price_AZN].[All]" allUniqueName="[Clean_Sales].[Unit_Price_AZN].[All]" dimensionUniqueName="[Clean_Sales]" displayFolder="" count="0" memberValueDatatype="20" unbalanced="0"/>
    <cacheHierarchy uniqueName="[Clean_Sales].[Unit_Cost_AZN]" caption="Unit_Cost_AZN" attribute="1" defaultMemberUniqueName="[Clean_Sales].[Unit_Cost_AZN].[All]" allUniqueName="[Clean_Sales].[Unit_Cost_AZN].[All]" dimensionUniqueName="[Clean_Sales]" displayFolder="" count="0" memberValueDatatype="20" unbalanced="0"/>
    <cacheHierarchy uniqueName="[Clean_Sales].[Discount_Rate]" caption="Discount_Rate" attribute="1" defaultMemberUniqueName="[Clean_Sales].[Discount_Rate].[All]" allUniqueName="[Clean_Sales].[Discount_Rate].[All]" dimensionUniqueName="[Clean_Sales]" displayFolder="" count="0" memberValueDatatype="5" unbalanced="0"/>
    <cacheHierarchy uniqueName="[Clean_Sales].[Sales_Channel]" caption="Sales_Channel" attribute="1" defaultMemberUniqueName="[Clean_Sales].[Sales_Channel].[All]" allUniqueName="[Clean_Sales].[Sales_Channel].[All]" dimensionUniqueName="[Clean_Sales]" displayFolder="" count="2" memberValueDatatype="130" unbalanced="0"/>
    <cacheHierarchy uniqueName="[Clean_Sales].[Status]" caption="Status" attribute="1" defaultMemberUniqueName="[Clean_Sales].[Status].[All]" allUniqueName="[Clean_Sales].[Status].[All]" dimensionUniqueName="[Clean_Sales]" displayFolder="" count="0" memberValueDatatype="130" unbalanced="0"/>
    <cacheHierarchy uniqueName="[Clean_Sales].[Unit_Cost_Filled_AZN]" caption="Unit_Cost_Filled_AZN" attribute="1" defaultMemberUniqueName="[Clean_Sales].[Unit_Cost_Filled_AZN].[All]" allUniqueName="[Clean_Sales].[Unit_Cost_Filled_AZN].[All]" dimensionUniqueName="[Clean_Sales]" displayFolder="" count="0" memberValueDatatype="20" unbalanced="0"/>
    <cacheHierarchy uniqueName="[Clean_Sales].[Revenue_AZN]" caption="Revenue_AZN" attribute="1" defaultMemberUniqueName="[Clean_Sales].[Revenue_AZN].[All]" allUniqueName="[Clean_Sales].[Revenue_AZN].[All]" dimensionUniqueName="[Clean_Sales]" displayFolder="" count="0" memberValueDatatype="5" unbalanced="0"/>
    <cacheHierarchy uniqueName="[Clean_Sales].[Total_Cost_AZN]" caption="Total_Cost_AZN" attribute="1" defaultMemberUniqueName="[Clean_Sales].[Total_Cost_AZN].[All]" allUniqueName="[Clean_Sales].[Total_Cost_AZN].[All]" dimensionUniqueName="[Clean_Sales]" displayFolder="" count="0" memberValueDatatype="20" unbalanced="0"/>
    <cacheHierarchy uniqueName="[Clean_Sales].[Gross_Profit_AZN]" caption="Gross_Profit_AZN" attribute="1" defaultMemberUniqueName="[Clean_Sales].[Gross_Profit_AZN].[All]" allUniqueName="[Clean_Sales].[Gross_Profit_AZN].[All]" dimensionUniqueName="[Clean_Sales]" displayFolder="" count="0" memberValueDatatype="5" unbalanced="0"/>
    <cacheHierarchy uniqueName="[Clean_Sales].[Gross_Margin]" caption="Gross_Margin" attribute="1" defaultMemberUniqueName="[Clean_Sales].[Gross_Margin].[All]" allUniqueName="[Clean_Sales].[Gross_Margin].[All]" dimensionUniqueName="[Clean_Sales]" displayFolder="" count="0" memberValueDatatype="5" unbalanced="0"/>
    <cacheHierarchy uniqueName="[QA_Zero_Quantity].[Order_ID]" caption="Order_ID" attribute="1" defaultMemberUniqueName="[QA_Zero_Quantity].[Order_ID].[All]" allUniqueName="[QA_Zero_Quantity].[Order_ID].[All]" dimensionUniqueName="[QA_Zero_Quantity]" displayFolder="" count="0" memberValueDatatype="130" unbalanced="0"/>
    <cacheHierarchy uniqueName="[QA_Zero_Quantity].[Order_Date]" caption="Order_Date" attribute="1" time="1" defaultMemberUniqueName="[QA_Zero_Quantity].[Order_Date].[All]" allUniqueName="[QA_Zero_Quantity].[Order_Date].[All]" dimensionUniqueName="[QA_Zero_Quantity]" displayFolder="" count="0" memberValueDatatype="7" unbalanced="0"/>
    <cacheHierarchy uniqueName="[QA_Zero_Quantity].[Customer_ID]" caption="Customer_ID" attribute="1" defaultMemberUniqueName="[QA_Zero_Quantity].[Customer_ID].[All]" allUniqueName="[QA_Zero_Quantity].[Customer_ID].[All]" dimensionUniqueName="[QA_Zero_Quantity]" displayFolder="" count="0" memberValueDatatype="130" unbalanced="0"/>
    <cacheHierarchy uniqueName="[QA_Zero_Quantity].[City]" caption="City" attribute="1" defaultMemberUniqueName="[QA_Zero_Quantity].[City].[All]" allUniqueName="[QA_Zero_Quantity].[City].[All]" dimensionUniqueName="[QA_Zero_Quantity]" displayFolder="" count="0" memberValueDatatype="130" unbalanced="0"/>
    <cacheHierarchy uniqueName="[QA_Zero_Quantity].[Product_ID]" caption="Product_ID" attribute="1" defaultMemberUniqueName="[QA_Zero_Quantity].[Product_ID].[All]" allUniqueName="[QA_Zero_Quantity].[Product_ID].[All]" dimensionUniqueName="[QA_Zero_Quantity]" displayFolder="" count="0" memberValueDatatype="130" unbalanced="0"/>
    <cacheHierarchy uniqueName="[QA_Zero_Quantity].[Product_Name]" caption="Product_Name" attribute="1" defaultMemberUniqueName="[QA_Zero_Quantity].[Product_Name].[All]" allUniqueName="[QA_Zero_Quantity].[Product_Name].[All]" dimensionUniqueName="[QA_Zero_Quantity]" displayFolder="" count="0" memberValueDatatype="130" unbalanced="0"/>
    <cacheHierarchy uniqueName="[QA_Zero_Quantity].[Category]" caption="Category" attribute="1" defaultMemberUniqueName="[QA_Zero_Quantity].[Category].[All]" allUniqueName="[QA_Zero_Quantity].[Category].[All]" dimensionUniqueName="[QA_Zero_Quantity]" displayFolder="" count="0" memberValueDatatype="130" unbalanced="0"/>
    <cacheHierarchy uniqueName="[QA_Zero_Quantity].[Quantity]" caption="Quantity" attribute="1" defaultMemberUniqueName="[QA_Zero_Quantity].[Quantity].[All]" allUniqueName="[QA_Zero_Quantity].[Quantity].[All]" dimensionUniqueName="[QA_Zero_Quantity]" displayFolder="" count="0" memberValueDatatype="20" unbalanced="0"/>
    <cacheHierarchy uniqueName="[QA_Zero_Quantity].[Unit_Price_AZN]" caption="Unit_Price_AZN" attribute="1" defaultMemberUniqueName="[QA_Zero_Quantity].[Unit_Price_AZN].[All]" allUniqueName="[QA_Zero_Quantity].[Unit_Price_AZN].[All]" dimensionUniqueName="[QA_Zero_Quantity]" displayFolder="" count="0" memberValueDatatype="5" unbalanced="0"/>
    <cacheHierarchy uniqueName="[QA_Zero_Quantity].[Unit_Cost_AZN]" caption="Unit_Cost_AZN" attribute="1" defaultMemberUniqueName="[QA_Zero_Quantity].[Unit_Cost_AZN].[All]" allUniqueName="[QA_Zero_Quantity].[Unit_Cost_AZN].[All]" dimensionUniqueName="[QA_Zero_Quantity]" displayFolder="" count="0" memberValueDatatype="5" unbalanced="0"/>
    <cacheHierarchy uniqueName="[QA_Zero_Quantity].[Discount_Rate]" caption="Discount_Rate" attribute="1" defaultMemberUniqueName="[QA_Zero_Quantity].[Discount_Rate].[All]" allUniqueName="[QA_Zero_Quantity].[Discount_Rate].[All]" dimensionUniqueName="[QA_Zero_Quantity]" displayFolder="" count="0" memberValueDatatype="5" unbalanced="0"/>
    <cacheHierarchy uniqueName="[QA_Zero_Quantity].[Sales_Channel]" caption="Sales_Channel" attribute="1" defaultMemberUniqueName="[QA_Zero_Quantity].[Sales_Channel].[All]" allUniqueName="[QA_Zero_Quantity].[Sales_Channel].[All]" dimensionUniqueName="[QA_Zero_Quantity]" displayFolder="" count="0" memberValueDatatype="130" unbalanced="0"/>
    <cacheHierarchy uniqueName="[QA_Zero_Quantity].[Status]" caption="Status" attribute="1" defaultMemberUniqueName="[QA_Zero_Quantity].[Status].[All]" allUniqueName="[QA_Zero_Quantity].[Status].[All]" dimensionUniqueName="[QA_Zero_Quantity]" displayFolder="" count="0" memberValueDatatype="130" unbalanced="0"/>
    <cacheHierarchy uniqueName="[QA_Zero_Quantity].[Unit_Cost_Filled_AZN]" caption="Unit_Cost_Filled_AZN" attribute="1" defaultMemberUniqueName="[QA_Zero_Quantity].[Unit_Cost_Filled_AZN].[All]" allUniqueName="[QA_Zero_Quantity].[Unit_Cost_Filled_AZN].[All]" dimensionUniqueName="[QA_Zero_Quantity]" displayFolder="" count="0" memberValueDatatype="5" unbalanced="0"/>
    <cacheHierarchy uniqueName="[Measures].[__XL_Count QA_Zero_Quantity]" caption="__XL_Count QA_Zero_Quantity" measure="1" displayFolder="" measureGroup="QA_Zero_Quantity" count="0" hidden="1"/>
    <cacheHierarchy uniqueName="[Measures].[__XL_Count Clean_Sales]" caption="__XL_Count Clean_Sales" measure="1" displayFolder="" measureGroup="Clean_Sales" count="0" hidden="1"/>
    <cacheHierarchy uniqueName="[Measures].[__No measures defined]" caption="__No measures defined" measure="1" displayFolder="" count="0" hidden="1"/>
    <cacheHierarchy uniqueName="[Measures].[Sum of Gross_Profit_AZN]" caption="Sum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Count of Gross_Profit_AZN]" caption="Count of Gross_Profit_AZN" measure="1" displayFolder="" measureGroup="Clean_Sales" count="0" hidden="1">
      <extLst>
        <ext xmlns:x15="http://schemas.microsoft.com/office/spreadsheetml/2010/11/main" uri="{B97F6D7D-B522-45F9-BDA1-12C45D357490}">
          <x15:cacheHierarchy aggregatedColumn="17"/>
        </ext>
      </extLst>
    </cacheHierarchy>
    <cacheHierarchy uniqueName="[Measures].[Sum of Revenue_AZN]" caption="Sum of Revenue_AZN" measure="1" displayFolder="" measureGroup="Clean_Sale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Clean_Sale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8627060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5D62FD-2A06-42DF-97D0-DF7CB7FD4A92}"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J4:K8" firstHeaderRow="1" firstDataRow="1" firstDataCol="1" rowPageCount="1" colPageCount="1"/>
  <pivotFields count="3">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s>
  <rowFields count="1">
    <field x="0"/>
  </rowFields>
  <rowItems count="4">
    <i>
      <x/>
    </i>
    <i>
      <x v="1"/>
    </i>
    <i>
      <x v="2"/>
    </i>
    <i t="grand">
      <x/>
    </i>
  </rowItems>
  <colItems count="1">
    <i/>
  </colItems>
  <pageFields count="1">
    <pageField fld="2" hier="4" name="[Clean_Sales].[City].[All]" cap="All"/>
  </pageFields>
  <dataFields count="1">
    <dataField name="Sum of Gross_Profit_AZN" fld="1" baseField="0" baseItem="0"/>
  </dataFields>
  <formats count="1">
    <format dxfId="24">
      <pivotArea collapsedLevelsAreSubtotals="1" fieldPosition="0">
        <references count="1">
          <reference field="0" count="0"/>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Gross_Profit_AZN"/>
    <pivotHierarchy dragToData="1" caption="Count of Gross_Profit_AZN"/>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day6.xlsx!Clean_Sales">
        <x15:activeTabTopLevelEntity name="[Clea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90D09D-A62D-4F7A-8870-5BFAF4ECDD58}" name="PivotTable4"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23:G28" firstHeaderRow="1" firstDataRow="2" firstDataCol="1" rowPageCount="1" colPageCount="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s>
  <rowFields count="1">
    <field x="0"/>
  </rowFields>
  <rowItems count="4">
    <i>
      <x/>
    </i>
    <i>
      <x v="1"/>
    </i>
    <i>
      <x v="2"/>
    </i>
    <i t="grand">
      <x/>
    </i>
  </rowItems>
  <colFields count="1">
    <field x="2"/>
  </colFields>
  <colItems count="6">
    <i>
      <x/>
    </i>
    <i>
      <x v="1"/>
    </i>
    <i>
      <x v="2"/>
    </i>
    <i>
      <x v="3"/>
    </i>
    <i>
      <x v="4"/>
    </i>
    <i t="grand">
      <x/>
    </i>
  </colItems>
  <pageFields count="1">
    <pageField fld="3" hier="4" name="[Clean_Sales].[City].&amp;[Unknown]" cap="Unknown"/>
  </pageFields>
  <dataFields count="1">
    <dataField name="Sum of Gross_Profit_AZN" fld="1" baseField="0" baseItem="0"/>
  </dataFields>
  <formats count="1">
    <format dxfId="25">
      <pivotArea collapsedLevelsAreSubtotals="1" fieldPosition="0">
        <references count="1">
          <reference field="0" count="0"/>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Gross_Profit_AZN"/>
    <pivotHierarchy dragToData="1" caption="Count of Gross_Profit_AZN"/>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day6.xlsx!Clean_Sales">
        <x15:activeTabTopLevelEntity name="[Clea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8853B6-75DF-457F-A6F0-D5401D0E2E89}" name="PivotTable3"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3:H18" firstHeaderRow="1" firstDataRow="2" firstDataCol="1" rowPageCount="1" colPageCount="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s>
  <rowFields count="1">
    <field x="0"/>
  </rowFields>
  <rowItems count="4">
    <i>
      <x/>
    </i>
    <i>
      <x v="1"/>
    </i>
    <i>
      <x v="2"/>
    </i>
    <i t="grand">
      <x/>
    </i>
  </rowItems>
  <colFields count="1">
    <field x="2"/>
  </colFields>
  <colItems count="7">
    <i>
      <x/>
    </i>
    <i>
      <x v="1"/>
    </i>
    <i>
      <x v="2"/>
    </i>
    <i>
      <x v="3"/>
    </i>
    <i>
      <x v="4"/>
    </i>
    <i>
      <x v="5"/>
    </i>
    <i t="grand">
      <x/>
    </i>
  </colItems>
  <pageFields count="1">
    <pageField fld="3" hier="4" name="[Clean_Sales].[City].&amp;[Baku]" cap="Baku"/>
  </pageFields>
  <dataFields count="1">
    <dataField name="Sum of Gross_Profit_AZN" fld="1" baseField="0" baseItem="0"/>
  </dataFields>
  <formats count="1">
    <format dxfId="26">
      <pivotArea collapsedLevelsAreSubtotals="1" fieldPosition="0">
        <references count="1">
          <reference field="0" count="0"/>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Gross_Profit_AZN"/>
    <pivotHierarchy dragToData="1" caption="Count of Gross_Profit_AZN"/>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day6.xlsx!Clean_Sales">
        <x15:activeTabTopLevelEntity name="[Clea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ADC05F-DF7F-400D-8E2C-8C6172BFF4DC}" name="KPI_Summary" cacheId="2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H8" firstHeaderRow="1" firstDataRow="2" firstDataCol="1" rowPageCount="1" colPageCount="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s>
  <rowFields count="1">
    <field x="0"/>
  </rowFields>
  <rowItems count="4">
    <i>
      <x/>
    </i>
    <i>
      <x v="1"/>
    </i>
    <i>
      <x v="2"/>
    </i>
    <i t="grand">
      <x/>
    </i>
  </rowItems>
  <colFields count="1">
    <field x="2"/>
  </colFields>
  <colItems count="7">
    <i>
      <x/>
    </i>
    <i>
      <x v="1"/>
    </i>
    <i>
      <x v="2"/>
    </i>
    <i>
      <x v="3"/>
    </i>
    <i>
      <x v="4"/>
    </i>
    <i>
      <x v="5"/>
    </i>
    <i t="grand">
      <x/>
    </i>
  </colItems>
  <pageFields count="1">
    <pageField fld="3" hier="4" name="[Clean_Sales].[City].[All]" cap="All"/>
  </pageFields>
  <dataFields count="1">
    <dataField name="Sum of Gross_Profit_AZN" fld="1" baseField="0" baseItem="0"/>
  </dataFields>
  <formats count="1">
    <format dxfId="27">
      <pivotArea collapsedLevelsAreSubtotals="1" fieldPosition="0">
        <references count="1">
          <reference field="0" count="0"/>
        </references>
      </pivotArea>
    </format>
  </formats>
  <pivotHierarchies count="4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Gross_Profit_AZN"/>
    <pivotHierarchy dragToData="1" caption="Count of Gross_Profit_AZN"/>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day6.xlsx!Clean_Sales">
        <x15:activeTabTopLevelEntity name="[Clea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F28B15-7E5F-435D-9DE5-833D89E6D190}" name="PivotTable7" cacheId="1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3">
  <location ref="B32:C3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_AZN" fld="1" baseField="0" baseItem="0"/>
  </dataFields>
  <chartFormats count="1">
    <chartFormat chart="12" format="6"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Gross_Profit_AZN"/>
    <pivotHierarchy dragToData="1" caption="Count of Gross_Profit_AZN"/>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day6.xlsx!Clean_Sales">
        <x15:activeTabTopLevelEntity name="[Clea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94E51B-AE4A-4194-9F61-1D4942130555}" name="PivotTable6"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J13:M18"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name="Sum of Gross_Profit_AZN" fld="1" baseField="0" baseItem="0"/>
  </dataFields>
  <formats count="1">
    <format dxfId="28">
      <pivotArea collapsedLevelsAreSubtotals="1" fieldPosition="0">
        <references count="1">
          <reference field="0" count="0"/>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Gross_Profit_AZN"/>
    <pivotHierarchy dragToData="1" caption="Count of Gross_Profit_AZN"/>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day6.xlsx!Clean_Sales">
        <x15:activeTabTopLevelEntity name="[Clea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4C04AB-B5E3-4894-8FD9-B66C183FB402}" name="PivotTable8"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3">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_AZN" fld="0" baseField="0" baseItem="0"/>
    <dataField name="Sum of Gross_Profit_AZN" fld="1" baseField="0" baseItem="0"/>
    <dataField name="Count of Order_ID" fld="2" subtotal="count" baseField="0" baseItem="1"/>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Gross_Profit_AZN"/>
    <pivotHierarchy dragToData="1" caption="Count of Gross_Profit_AZN"/>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day6.xlsx!Clean_Sales">
        <x15:activeTabTopLevelEntity name="[Clea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556F5B-F7A9-4100-B155-0FBCACBC2441}" name="PivotTable10" cacheId="2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2">
  <location ref="A3:B12"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4"/>
    </i>
    <i>
      <x v="7"/>
    </i>
    <i>
      <x v="5"/>
    </i>
    <i>
      <x v="1"/>
    </i>
    <i>
      <x/>
    </i>
    <i>
      <x v="2"/>
    </i>
    <i>
      <x v="3"/>
    </i>
    <i>
      <x v="6"/>
    </i>
    <i t="grand">
      <x/>
    </i>
  </rowItems>
  <colItems count="1">
    <i/>
  </colItems>
  <dataFields count="1">
    <dataField name="Sum of Revenue_AZN" fld="0" baseField="0" baseItem="0"/>
  </dataFields>
  <chartFormats count="4">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Gross_Profit_AZN"/>
    <pivotHierarchy dragToData="1" caption="Count of Gross_Profit_AZN"/>
    <pivotHierarchy dragToData="1"/>
    <pivotHierarchy dragToData="1"/>
  </pivotHierarchies>
  <pivotTableStyleInfo name="PivotStyleLight16" showRowHeaders="1" showColHeaders="1" showRowStripes="0" showColStripes="1"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day6.xlsx!Clean_Sales">
        <x15:activeTabTopLevelEntity name="[Clean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D22006-6231-4578-943D-2C274B07360A}" name="PivotTable9" cacheId="1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8">
  <location ref="A3:B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_AZN" fld="0" baseField="0" baseItem="0"/>
  </dataFields>
  <chartFormats count="1">
    <chartFormat chart="17"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Gross_Profit_AZN"/>
    <pivotHierarchy dragToData="1" caption="Count of Gross_Profit_AZN"/>
    <pivotHierarchy dragToData="1"/>
    <pivotHierarchy dragToData="1"/>
  </pivotHierarchies>
  <pivotTableStyleInfo name="PivotStyleLight16" showRowHeaders="1" showColHeaders="1" showRowStripes="0" showColStripes="1"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day6.xlsx!Clean_Sales">
        <x15:activeTabTopLevelEntity name="[Clean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 xr16:uid="{3FFECA9C-597C-4EC9-A882-BE5EB1362CDE}" autoFormatId="16" applyNumberFormats="0" applyBorderFormats="0" applyFontFormats="0" applyPatternFormats="0" applyAlignmentFormats="0" applyWidthHeightFormats="0">
  <queryTableRefresh nextId="15">
    <queryTableFields count="14">
      <queryTableField id="1" name="Order_ID" tableColumnId="1"/>
      <queryTableField id="2" name="Order_Date" tableColumnId="2"/>
      <queryTableField id="3" name="Customer_ID" tableColumnId="3"/>
      <queryTableField id="4" name="City" tableColumnId="4"/>
      <queryTableField id="5" name="Product_ID" tableColumnId="5"/>
      <queryTableField id="6" name="Product_Name" tableColumnId="6"/>
      <queryTableField id="7" name="Category" tableColumnId="7"/>
      <queryTableField id="8" name="Quantity" tableColumnId="8"/>
      <queryTableField id="9" name="Unit_Price_AZN" tableColumnId="9"/>
      <queryTableField id="10" name="Unit_Cost_AZN" tableColumnId="10"/>
      <queryTableField id="11" name="Discount_Rate" tableColumnId="11"/>
      <queryTableField id="12" name="Sales_Channel" tableColumnId="12"/>
      <queryTableField id="13" name="Status" tableColumnId="13"/>
      <queryTableField id="14" name="Unit_Cost_Filled_AZN" tableColumnId="14"/>
    </queryTableFields>
  </queryTableRefresh>
  <extLst>
    <ext xmlns:x15="http://schemas.microsoft.com/office/spreadsheetml/2010/11/main" uri="{883FBD77-0823-4a55-B5E3-86C4891E6966}">
      <x15:queryTable sourceDataName="Query - QA_Zero_Quantity"/>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1A92549-9AEF-41D8-AEA7-28A3DFE63E28}" autoFormatId="16" applyNumberFormats="0" applyBorderFormats="0" applyFontFormats="0" applyPatternFormats="0" applyAlignmentFormats="0" applyWidthHeightFormats="0">
  <queryTableRefresh nextId="20">
    <queryTableFields count="19">
      <queryTableField id="1" name="Order_ID" tableColumnId="1"/>
      <queryTableField id="19" dataBound="0" tableColumnId="19"/>
      <queryTableField id="2" name="Order_Date" tableColumnId="2"/>
      <queryTableField id="3" name="Customer_ID" tableColumnId="3"/>
      <queryTableField id="4" name="City" tableColumnId="4"/>
      <queryTableField id="5" name="Product_ID" tableColumnId="5"/>
      <queryTableField id="6" name="Product_Name" tableColumnId="6"/>
      <queryTableField id="7" name="Category" tableColumnId="7"/>
      <queryTableField id="8" name="Quantity" tableColumnId="8"/>
      <queryTableField id="9" name="Unit_Price_AZN" tableColumnId="9"/>
      <queryTableField id="10" name="Unit_Cost_AZN" tableColumnId="10"/>
      <queryTableField id="11" name="Discount_Rate" tableColumnId="11"/>
      <queryTableField id="12" name="Sales_Channel" tableColumnId="12"/>
      <queryTableField id="13" name="Status" tableColumnId="13"/>
      <queryTableField id="14" name="Unit_Cost_Filled_AZN" tableColumnId="14"/>
      <queryTableField id="15" name="Revenue_AZN" tableColumnId="15"/>
      <queryTableField id="16" name="Total_Cost_AZN" tableColumnId="16"/>
      <queryTableField id="17" name="Gross_Profit_AZN" tableColumnId="17"/>
      <queryTableField id="18" name="Gross_Margin"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1F9A7C72-5836-4ACC-89ED-45314BC6873E}"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Customer_ID" tableColumnId="3"/>
      <queryTableField id="4" name="City" tableColumnId="4"/>
      <queryTableField id="5" name="Product_ID" tableColumnId="5"/>
      <queryTableField id="6" name="Product_Name" tableColumnId="6"/>
      <queryTableField id="7" name="Category" tableColumnId="7"/>
      <queryTableField id="8" name="Quantity" tableColumnId="8"/>
      <queryTableField id="9" name="Unit_Price_AZN" tableColumnId="9"/>
      <queryTableField id="10" name="Unit_Cost_AZN" tableColumnId="10"/>
      <queryTableField id="11" name="Discount_Rate" tableColumnId="11"/>
      <queryTableField id="12" name="Sales_Channel" tableColumnId="12"/>
      <queryTableField id="13" name="Statu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B4F5433-ACC6-43B6-9C2C-6CF71F2A975C}" sourceName="[Clean_Sales].[City]">
  <pivotTables>
    <pivotTable tabId="6" name="PivotTable7"/>
    <pivotTable tabId="7" name="PivotTable8"/>
    <pivotTable tabId="8" name="PivotTable9"/>
    <pivotTable tabId="9" name="PivotTable10"/>
    <pivotTable tabId="6" name="KPI_Summary"/>
  </pivotTables>
  <data>
    <olap pivotCacheId="862706006">
      <levels count="2">
        <level uniqueName="[Clean_Sales].[City].[(All)]" sourceCaption="(All)" count="0"/>
        <level uniqueName="[Clean_Sales].[City].[City]" sourceCaption="City" count="5">
          <ranges>
            <range startItem="0">
              <i n="[Clean_Sales].[City].&amp;[Baku]" c="Baku"/>
              <i n="[Clean_Sales].[City].&amp;[Ganja]" c="Ganja"/>
              <i n="[Clean_Sales].[City].&amp;[Lankaran]" c="Lankaran"/>
              <i n="[Clean_Sales].[City].&amp;[Sumgait]" c="Sumgait"/>
              <i n="[Clean_Sales].[City].&amp;[Unknown]" c="Unknown"/>
            </range>
          </ranges>
        </level>
      </levels>
      <selections count="1">
        <selection n="[Clean_Sale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41112D4-8368-44AF-9655-53A08F69C79D}" sourceName="[Clean_Sales].[Sales_Channel]">
  <pivotTables>
    <pivotTable tabId="7" name="PivotTable8"/>
    <pivotTable tabId="8" name="PivotTable9"/>
    <pivotTable tabId="9" name="PivotTable10"/>
    <pivotTable tabId="6" name="KPI_Summary"/>
  </pivotTables>
  <data>
    <olap pivotCacheId="862706006">
      <levels count="2">
        <level uniqueName="[Clean_Sales].[Sales_Channel].[(All)]" sourceCaption="(All)" count="0"/>
        <level uniqueName="[Clean_Sales].[Sales_Channel].[Sales_Channel]" sourceCaption="Sales_Channel" count="2">
          <ranges>
            <range startItem="0">
              <i n="[Clean_Sales].[Sales_Channel].&amp;[Online]" c="Online"/>
              <i n="[Clean_Sales].[Sales_Channel].&amp;[Store]" c="Store"/>
            </range>
          </ranges>
        </level>
      </levels>
      <selections count="1">
        <selection n="[Clean_Sales].[Sales_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2290093-1446-4C00-82E1-9B67BD17D879}" cache="Slicer_City" caption="City" level="1" rowHeight="234950"/>
  <slicer name="Sales_Channel" xr10:uid="{9617EDBE-CDC8-4C73-9614-6E5EAB4AD81A}" cache="Slicer_Sales_Channel" caption="Sales_Channel"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1B830F-1863-4E16-AF8F-34432A4BF748}" name="QA_Zero_Quantity" displayName="QA_Zero_Quantity" ref="A1:N8" tableType="queryTable" totalsRowShown="0">
  <autoFilter ref="A1:N8" xr:uid="{F3711D50-EDA6-4138-BD90-F7494554A52C}"/>
  <tableColumns count="14">
    <tableColumn id="1" xr3:uid="{F53247D6-65C5-4CF3-8012-D0BB46331215}" uniqueName="1" name="Order_ID" queryTableFieldId="1" dataDxfId="37"/>
    <tableColumn id="2" xr3:uid="{6E397619-1FCF-45EC-A430-3F86BD02EB1D}" uniqueName="2" name="Order_Date" queryTableFieldId="2" dataDxfId="36"/>
    <tableColumn id="3" xr3:uid="{3EDF0E65-4D34-46AB-B11E-6D0A6285B229}" uniqueName="3" name="Customer_ID" queryTableFieldId="3" dataDxfId="35"/>
    <tableColumn id="4" xr3:uid="{CCDE0475-1FED-457D-A85C-7A548230EED3}" uniqueName="4" name="City" queryTableFieldId="4" dataDxfId="34"/>
    <tableColumn id="5" xr3:uid="{72EC42C6-F1E8-471F-A81C-17E57B050447}" uniqueName="5" name="Product_ID" queryTableFieldId="5" dataDxfId="33"/>
    <tableColumn id="6" xr3:uid="{A7B8C9A9-8E50-4C67-8677-A48B972B847B}" uniqueName="6" name="Product_Name" queryTableFieldId="6" dataDxfId="32"/>
    <tableColumn id="7" xr3:uid="{950DC078-164F-474D-B2A3-E95B18EA00B3}" uniqueName="7" name="Category" queryTableFieldId="7" dataDxfId="31"/>
    <tableColumn id="8" xr3:uid="{1865D491-D3BC-400B-BE7C-ADBD038B84AF}" uniqueName="8" name="Quantity" queryTableFieldId="8"/>
    <tableColumn id="9" xr3:uid="{D2C30DFA-0C5C-46F9-8584-FF358B4E3532}" uniqueName="9" name="Unit_Price_AZN" queryTableFieldId="9"/>
    <tableColumn id="10" xr3:uid="{A57CDED3-8623-4577-A123-16E926ED62C8}" uniqueName="10" name="Unit_Cost_AZN" queryTableFieldId="10"/>
    <tableColumn id="11" xr3:uid="{119C5A7B-4F7F-4EAF-A82D-9D148DADC7B5}" uniqueName="11" name="Discount_Rate" queryTableFieldId="11"/>
    <tableColumn id="12" xr3:uid="{FF38457B-CD37-428D-A1C8-12CFB9ED9A10}" uniqueName="12" name="Sales_Channel" queryTableFieldId="12" dataDxfId="30"/>
    <tableColumn id="13" xr3:uid="{17BD319D-D060-488A-AAE0-4CD1DCF6E305}" uniqueName="13" name="Status" queryTableFieldId="13" dataDxfId="29"/>
    <tableColumn id="14" xr3:uid="{D6426525-BF5A-479D-9FC4-AB14CA3C9981}" uniqueName="14" name="Unit_Cost_Filled_AZN"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77FB14-5C9C-480D-8781-B0274C0F8DC9}" name="Clean_Sales" displayName="Clean_Sales" ref="A1:S563" tableType="queryTable" totalsRowShown="0">
  <autoFilter ref="A1:S563" xr:uid="{452A9304-8276-4B4E-BE03-D99D5B4511B0}"/>
  <tableColumns count="19">
    <tableColumn id="1" xr3:uid="{FA7DE4C9-FAB2-46C9-8EDD-C5E5A7B756EC}" uniqueName="1" name="Order_ID" queryTableFieldId="1" dataDxfId="23"/>
    <tableColumn id="19" xr3:uid="{1D12356F-4E3C-4402-A901-E2A9D91A722F}" uniqueName="19" name="Month" queryTableFieldId="19" dataDxfId="22">
      <calculatedColumnFormula>MONTH(Clean_Sales[[#This Row],[Order_Date]])</calculatedColumnFormula>
    </tableColumn>
    <tableColumn id="2" xr3:uid="{7AA29683-852D-485F-8A06-4354AB7FDEBD}" uniqueName="2" name="Order_Date" queryTableFieldId="2" dataDxfId="21"/>
    <tableColumn id="3" xr3:uid="{018BB34F-4FCE-47BF-9134-9FB3174589DE}" uniqueName="3" name="Customer_ID" queryTableFieldId="3" dataDxfId="20"/>
    <tableColumn id="4" xr3:uid="{558D915D-C903-48C4-8261-C18A1E1F91F7}" uniqueName="4" name="City" queryTableFieldId="4" dataDxfId="19"/>
    <tableColumn id="5" xr3:uid="{37E7AC52-6A44-466D-94A8-5EE1B44A66A1}" uniqueName="5" name="Product_ID" queryTableFieldId="5" dataDxfId="18"/>
    <tableColumn id="6" xr3:uid="{1BE45EA6-63D7-45AA-91FB-E4DEF65D5723}" uniqueName="6" name="Product_Name" queryTableFieldId="6" dataDxfId="17"/>
    <tableColumn id="7" xr3:uid="{08F09C2A-A959-4138-BE38-87461262D6FF}" uniqueName="7" name="Category" queryTableFieldId="7" dataDxfId="16"/>
    <tableColumn id="8" xr3:uid="{63E5E237-D0D7-485B-A421-2BDF3D86E708}" uniqueName="8" name="Quantity" queryTableFieldId="8"/>
    <tableColumn id="9" xr3:uid="{6E23F9A7-584F-4207-88DD-1836C403F8D6}" uniqueName="9" name="Unit_Price_AZN" queryTableFieldId="9"/>
    <tableColumn id="10" xr3:uid="{D16AD089-83A6-4F35-8DC7-733ABA3A1C65}" uniqueName="10" name="Unit_Cost_AZN" queryTableFieldId="10"/>
    <tableColumn id="11" xr3:uid="{839CD43A-24A5-4904-A3AE-B3BEC43312BB}" uniqueName="11" name="Discount_Rate" queryTableFieldId="11"/>
    <tableColumn id="12" xr3:uid="{1A268941-08E7-488E-AD29-3D3585B81321}" uniqueName="12" name="Sales_Channel" queryTableFieldId="12" dataDxfId="15"/>
    <tableColumn id="13" xr3:uid="{7075E66B-D5DB-4783-9BCB-D0354859AC2B}" uniqueName="13" name="Status" queryTableFieldId="13" dataDxfId="14"/>
    <tableColumn id="14" xr3:uid="{E9044F42-DA16-4D5E-B4AD-19D0A62B459E}" uniqueName="14" name="Unit_Cost_Filled_AZN" queryTableFieldId="14"/>
    <tableColumn id="15" xr3:uid="{ED5CCEBA-8EF7-4949-969A-A182ECD48628}" uniqueName="15" name="Revenue_AZN" queryTableFieldId="15"/>
    <tableColumn id="16" xr3:uid="{3649F555-CF69-4A0F-87FA-DAC90BA3C4F6}" uniqueName="16" name="Total_Cost_AZN" queryTableFieldId="16"/>
    <tableColumn id="17" xr3:uid="{F9089E6F-27CA-4822-8DCD-68487BE6EEC0}" uniqueName="17" name="Gross_Profit_AZN" queryTableFieldId="17"/>
    <tableColumn id="18" xr3:uid="{D8A669EF-1414-4838-AC36-F516D20EEF8A}" uniqueName="18" name="Gross_Margin"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C975D4-67DD-47CC-A9DE-67C691AF9484}" name="Raw_Sales" displayName="Raw_Sales" ref="A1:M613" tableType="queryTable" totalsRowShown="0">
  <autoFilter ref="A1:M613" xr:uid="{226A4AC1-5154-49E7-806B-75CFC1DF4F13}"/>
  <tableColumns count="13">
    <tableColumn id="1" xr3:uid="{94309648-754D-4385-A478-FD211B39644F}" uniqueName="1" name="Order_ID" queryTableFieldId="1" dataDxfId="13"/>
    <tableColumn id="2" xr3:uid="{84FB8221-896B-4FB1-9BD5-B4355FE88644}" uniqueName="2" name="Order_Date" queryTableFieldId="2" dataDxfId="12"/>
    <tableColumn id="3" xr3:uid="{C04824AB-8676-42B8-85B4-D06DB987EA65}" uniqueName="3" name="Customer_ID" queryTableFieldId="3" dataDxfId="11"/>
    <tableColumn id="4" xr3:uid="{7E3E8082-E33A-497D-8172-25E331BC16F6}" uniqueName="4" name="City" queryTableFieldId="4" dataDxfId="10"/>
    <tableColumn id="5" xr3:uid="{0F6AFCFA-1D44-454A-8E1E-B27F35EB1A25}" uniqueName="5" name="Product_ID" queryTableFieldId="5" dataDxfId="9"/>
    <tableColumn id="6" xr3:uid="{376B33B7-C0F2-4DFA-907F-D306E6E046BD}" uniqueName="6" name="Product_Name" queryTableFieldId="6" dataDxfId="8"/>
    <tableColumn id="7" xr3:uid="{5D108302-8DF8-4398-999E-13CAE48A8770}" uniqueName="7" name="Category" queryTableFieldId="7" dataDxfId="7"/>
    <tableColumn id="8" xr3:uid="{F2FB93AE-E9E2-40DB-8BFE-ACBBEF6407C6}" uniqueName="8" name="Quantity" queryTableFieldId="8" dataDxfId="6"/>
    <tableColumn id="9" xr3:uid="{617D0A8C-D63D-4B70-B1FC-1550A79DCB62}" uniqueName="9" name="Unit_Price_AZN" queryTableFieldId="9" dataDxfId="5"/>
    <tableColumn id="10" xr3:uid="{CC25ADCE-63BD-402F-89EE-71A8BD38F346}" uniqueName="10" name="Unit_Cost_AZN" queryTableFieldId="10" dataDxfId="4"/>
    <tableColumn id="11" xr3:uid="{CEEBAC1E-9CF8-431F-A5D4-85EAB937E083}" uniqueName="11" name="Discount_Rate" queryTableFieldId="11" dataDxfId="3"/>
    <tableColumn id="12" xr3:uid="{B80892EB-2BBA-4F93-AE48-384235072F5F}" uniqueName="12" name="Sales_Channel" queryTableFieldId="12" dataDxfId="2"/>
    <tableColumn id="13" xr3:uid="{5EBCE8DE-96CD-48CB-9006-46D93EF044E4}" uniqueName="13" name="Status" queryTableFieldId="13"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60EDC-8B0A-4F77-94A2-A2738ED356F1}">
  <dimension ref="A1:N8"/>
  <sheetViews>
    <sheetView workbookViewId="0">
      <selection activeCell="I24" sqref="I24"/>
    </sheetView>
  </sheetViews>
  <sheetFormatPr defaultRowHeight="14.4" x14ac:dyDescent="0.3"/>
  <cols>
    <col min="1" max="1" width="10.77734375" bestFit="1" customWidth="1"/>
    <col min="2" max="2" width="12.88671875" bestFit="1" customWidth="1"/>
    <col min="3" max="3" width="14.109375" bestFit="1" customWidth="1"/>
    <col min="4" max="4" width="8.77734375" bestFit="1" customWidth="1"/>
    <col min="5" max="5" width="12.6640625" bestFit="1" customWidth="1"/>
    <col min="6" max="6" width="16" bestFit="1" customWidth="1"/>
    <col min="7" max="7" width="10.77734375" bestFit="1" customWidth="1"/>
    <col min="8" max="8" width="10.5546875" bestFit="1" customWidth="1"/>
    <col min="9" max="9" width="16.5546875" bestFit="1" customWidth="1"/>
    <col min="10" max="10" width="16.109375" bestFit="1" customWidth="1"/>
    <col min="11" max="12" width="15.44140625" bestFit="1" customWidth="1"/>
    <col min="13" max="13" width="9.88671875" bestFit="1" customWidth="1"/>
    <col min="14" max="14" width="21.5546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977</v>
      </c>
    </row>
    <row r="2" spans="1:14" x14ac:dyDescent="0.3">
      <c r="A2" s="1" t="s">
        <v>13</v>
      </c>
      <c r="B2" s="2">
        <v>46169</v>
      </c>
      <c r="C2" s="1" t="s">
        <v>15</v>
      </c>
      <c r="D2" s="1" t="s">
        <v>982</v>
      </c>
      <c r="E2" s="1" t="s">
        <v>17</v>
      </c>
      <c r="F2" s="1" t="s">
        <v>18</v>
      </c>
      <c r="G2" s="1" t="s">
        <v>74</v>
      </c>
      <c r="H2">
        <v>0</v>
      </c>
      <c r="I2">
        <v>25</v>
      </c>
      <c r="K2">
        <v>0</v>
      </c>
      <c r="L2" s="1" t="s">
        <v>23</v>
      </c>
      <c r="M2" s="1" t="s">
        <v>36</v>
      </c>
      <c r="N2">
        <v>12</v>
      </c>
    </row>
    <row r="3" spans="1:14" x14ac:dyDescent="0.3">
      <c r="A3" s="1" t="s">
        <v>316</v>
      </c>
      <c r="B3" s="2">
        <v>46141</v>
      </c>
      <c r="C3" s="1" t="s">
        <v>318</v>
      </c>
      <c r="D3" s="1" t="s">
        <v>50</v>
      </c>
      <c r="E3" s="1" t="s">
        <v>51</v>
      </c>
      <c r="F3" s="1" t="s">
        <v>52</v>
      </c>
      <c r="G3" s="1" t="s">
        <v>42</v>
      </c>
      <c r="H3">
        <v>0</v>
      </c>
      <c r="I3">
        <v>310</v>
      </c>
      <c r="J3">
        <v>220</v>
      </c>
      <c r="K3">
        <v>0.1</v>
      </c>
      <c r="L3" s="1" t="s">
        <v>46</v>
      </c>
      <c r="M3" s="1" t="s">
        <v>36</v>
      </c>
      <c r="N3">
        <v>220</v>
      </c>
    </row>
    <row r="4" spans="1:14" x14ac:dyDescent="0.3">
      <c r="A4" s="1" t="s">
        <v>489</v>
      </c>
      <c r="B4" s="2">
        <v>46120</v>
      </c>
      <c r="C4" s="1" t="s">
        <v>111</v>
      </c>
      <c r="D4" s="1" t="s">
        <v>28</v>
      </c>
      <c r="E4" s="1" t="s">
        <v>106</v>
      </c>
      <c r="F4" s="1" t="s">
        <v>107</v>
      </c>
      <c r="G4" s="1" t="s">
        <v>31</v>
      </c>
      <c r="H4">
        <v>0</v>
      </c>
      <c r="I4">
        <v>190</v>
      </c>
      <c r="J4">
        <v>115</v>
      </c>
      <c r="K4">
        <v>0.1</v>
      </c>
      <c r="L4" s="1" t="s">
        <v>46</v>
      </c>
      <c r="M4" s="1" t="s">
        <v>36</v>
      </c>
      <c r="N4">
        <v>115</v>
      </c>
    </row>
    <row r="5" spans="1:14" x14ac:dyDescent="0.3">
      <c r="A5" s="1" t="s">
        <v>622</v>
      </c>
      <c r="B5" s="2">
        <v>46142</v>
      </c>
      <c r="C5" s="1" t="s">
        <v>624</v>
      </c>
      <c r="D5" s="1" t="s">
        <v>28</v>
      </c>
      <c r="E5" s="1" t="s">
        <v>64</v>
      </c>
      <c r="F5" s="1" t="s">
        <v>65</v>
      </c>
      <c r="G5" s="1" t="s">
        <v>42</v>
      </c>
      <c r="H5">
        <v>0</v>
      </c>
      <c r="I5">
        <v>360</v>
      </c>
      <c r="J5">
        <v>250</v>
      </c>
      <c r="K5">
        <v>0.1</v>
      </c>
      <c r="L5" s="1" t="s">
        <v>46</v>
      </c>
      <c r="M5" s="1" t="s">
        <v>36</v>
      </c>
      <c r="N5">
        <v>250</v>
      </c>
    </row>
    <row r="6" spans="1:14" x14ac:dyDescent="0.3">
      <c r="A6" s="1" t="s">
        <v>742</v>
      </c>
      <c r="B6" s="2">
        <v>46067</v>
      </c>
      <c r="C6" s="1" t="s">
        <v>743</v>
      </c>
      <c r="D6" s="1" t="s">
        <v>28</v>
      </c>
      <c r="E6" s="1" t="s">
        <v>64</v>
      </c>
      <c r="F6" s="1" t="s">
        <v>65</v>
      </c>
      <c r="G6" s="1" t="s">
        <v>42</v>
      </c>
      <c r="H6">
        <v>0</v>
      </c>
      <c r="I6">
        <v>360</v>
      </c>
      <c r="J6">
        <v>250</v>
      </c>
      <c r="K6">
        <v>0</v>
      </c>
      <c r="L6" s="1" t="s">
        <v>23</v>
      </c>
      <c r="M6" s="1" t="s">
        <v>36</v>
      </c>
      <c r="N6">
        <v>250</v>
      </c>
    </row>
    <row r="7" spans="1:14" x14ac:dyDescent="0.3">
      <c r="A7" s="1" t="s">
        <v>854</v>
      </c>
      <c r="B7" s="2">
        <v>46101</v>
      </c>
      <c r="C7" s="1" t="s">
        <v>155</v>
      </c>
      <c r="D7" s="1" t="s">
        <v>59</v>
      </c>
      <c r="E7" s="1" t="s">
        <v>29</v>
      </c>
      <c r="F7" s="1" t="s">
        <v>30</v>
      </c>
      <c r="G7" s="1" t="s">
        <v>31</v>
      </c>
      <c r="H7">
        <v>0</v>
      </c>
      <c r="I7">
        <v>280</v>
      </c>
      <c r="J7">
        <v>190</v>
      </c>
      <c r="K7">
        <v>0.1</v>
      </c>
      <c r="L7" s="1" t="s">
        <v>23</v>
      </c>
      <c r="M7" s="1" t="s">
        <v>36</v>
      </c>
      <c r="N7">
        <v>190</v>
      </c>
    </row>
    <row r="8" spans="1:14" x14ac:dyDescent="0.3">
      <c r="A8" s="1" t="s">
        <v>958</v>
      </c>
      <c r="B8" s="2">
        <v>46053</v>
      </c>
      <c r="C8" s="1" t="s">
        <v>248</v>
      </c>
      <c r="D8" s="1" t="s">
        <v>59</v>
      </c>
      <c r="E8" s="1" t="s">
        <v>72</v>
      </c>
      <c r="F8" s="1" t="s">
        <v>73</v>
      </c>
      <c r="G8" s="1" t="s">
        <v>74</v>
      </c>
      <c r="H8">
        <v>0</v>
      </c>
      <c r="I8">
        <v>65</v>
      </c>
      <c r="J8">
        <v>35</v>
      </c>
      <c r="K8">
        <v>0.1</v>
      </c>
      <c r="L8" s="1" t="s">
        <v>46</v>
      </c>
      <c r="M8" s="1" t="s">
        <v>36</v>
      </c>
      <c r="N8">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12A36-F907-4271-A5D9-94C7AB82ED3F}">
  <dimension ref="A1:M38"/>
  <sheetViews>
    <sheetView topLeftCell="B21" zoomScale="96" workbookViewId="0">
      <selection activeCell="I24" sqref="I24"/>
    </sheetView>
  </sheetViews>
  <sheetFormatPr defaultRowHeight="14.4" x14ac:dyDescent="0.3"/>
  <cols>
    <col min="1" max="1" width="23.44140625" bestFit="1" customWidth="1"/>
    <col min="2" max="2" width="16.21875" bestFit="1" customWidth="1"/>
    <col min="3" max="3" width="8.88671875" bestFit="1" customWidth="1"/>
    <col min="4" max="5" width="9.33203125" bestFit="1" customWidth="1"/>
    <col min="6" max="6" width="8.88671875" bestFit="1" customWidth="1"/>
    <col min="7" max="7" width="9.33203125" bestFit="1" customWidth="1"/>
    <col min="8" max="8" width="11.21875" bestFit="1" customWidth="1"/>
    <col min="9" max="9" width="10.77734375" bestFit="1" customWidth="1"/>
    <col min="10" max="10" width="23.44140625" bestFit="1" customWidth="1"/>
    <col min="11" max="11" width="20.33203125" bestFit="1" customWidth="1"/>
    <col min="12" max="12" width="6.21875" bestFit="1" customWidth="1"/>
    <col min="13" max="13" width="11.21875" bestFit="1" customWidth="1"/>
    <col min="14" max="14" width="9" bestFit="1" customWidth="1"/>
    <col min="15" max="15" width="8.5546875" bestFit="1" customWidth="1"/>
    <col min="16" max="16" width="9" bestFit="1" customWidth="1"/>
    <col min="17" max="17" width="10.77734375" bestFit="1" customWidth="1"/>
    <col min="18" max="31" width="11.77734375" bestFit="1" customWidth="1"/>
    <col min="32" max="40" width="10.77734375" bestFit="1" customWidth="1"/>
    <col min="41" max="58" width="11.77734375" bestFit="1" customWidth="1"/>
    <col min="59" max="67" width="10.77734375" bestFit="1" customWidth="1"/>
    <col min="68" max="88" width="11.77734375" bestFit="1" customWidth="1"/>
    <col min="89" max="97" width="10.77734375" bestFit="1" customWidth="1"/>
    <col min="98" max="117" width="11.77734375" bestFit="1" customWidth="1"/>
    <col min="118" max="126" width="10.77734375" bestFit="1" customWidth="1"/>
    <col min="127" max="147" width="11.77734375" bestFit="1" customWidth="1"/>
    <col min="148" max="156" width="10.77734375" bestFit="1" customWidth="1"/>
    <col min="157" max="177" width="11.77734375" bestFit="1" customWidth="1"/>
    <col min="178" max="178" width="10.77734375" bestFit="1" customWidth="1"/>
  </cols>
  <sheetData>
    <row r="1" spans="1:13" x14ac:dyDescent="0.3">
      <c r="A1" s="3" t="s">
        <v>3</v>
      </c>
      <c r="B1" t="s" vm="1">
        <v>986</v>
      </c>
    </row>
    <row r="2" spans="1:13" x14ac:dyDescent="0.3">
      <c r="J2" s="3" t="s">
        <v>3</v>
      </c>
      <c r="K2" t="s" vm="1">
        <v>986</v>
      </c>
    </row>
    <row r="3" spans="1:13" x14ac:dyDescent="0.3">
      <c r="A3" s="3" t="s">
        <v>985</v>
      </c>
      <c r="B3" s="3" t="s">
        <v>987</v>
      </c>
    </row>
    <row r="4" spans="1:13" x14ac:dyDescent="0.3">
      <c r="A4" s="3" t="s">
        <v>983</v>
      </c>
      <c r="B4">
        <v>1</v>
      </c>
      <c r="C4">
        <v>2</v>
      </c>
      <c r="D4">
        <v>3</v>
      </c>
      <c r="E4">
        <v>4</v>
      </c>
      <c r="F4">
        <v>5</v>
      </c>
      <c r="G4">
        <v>6</v>
      </c>
      <c r="H4" t="s">
        <v>984</v>
      </c>
      <c r="J4" s="3" t="s">
        <v>983</v>
      </c>
      <c r="K4" t="s">
        <v>985</v>
      </c>
    </row>
    <row r="5" spans="1:13" x14ac:dyDescent="0.3">
      <c r="A5" s="4" t="s">
        <v>74</v>
      </c>
      <c r="B5" s="5">
        <v>4135.75</v>
      </c>
      <c r="C5" s="5">
        <v>2987</v>
      </c>
      <c r="D5" s="5">
        <v>3755.25</v>
      </c>
      <c r="E5" s="5">
        <v>2759.75</v>
      </c>
      <c r="F5" s="5">
        <v>3171</v>
      </c>
      <c r="G5" s="5">
        <v>4524.75</v>
      </c>
      <c r="H5" s="5">
        <v>21333.5</v>
      </c>
      <c r="J5" s="4" t="s">
        <v>74</v>
      </c>
      <c r="K5" s="5">
        <v>21333.5</v>
      </c>
    </row>
    <row r="6" spans="1:13" x14ac:dyDescent="0.3">
      <c r="A6" s="4" t="s">
        <v>42</v>
      </c>
      <c r="B6" s="5">
        <v>19184.5</v>
      </c>
      <c r="C6" s="5">
        <v>14512.5</v>
      </c>
      <c r="D6" s="5">
        <v>19420.5</v>
      </c>
      <c r="E6" s="5">
        <v>22595</v>
      </c>
      <c r="F6" s="5">
        <v>21036</v>
      </c>
      <c r="G6" s="5">
        <v>13688.5</v>
      </c>
      <c r="H6" s="5">
        <v>110437</v>
      </c>
      <c r="J6" s="4" t="s">
        <v>42</v>
      </c>
      <c r="K6" s="5">
        <v>110437</v>
      </c>
    </row>
    <row r="7" spans="1:13" x14ac:dyDescent="0.3">
      <c r="A7" s="4" t="s">
        <v>31</v>
      </c>
      <c r="B7" s="5">
        <v>4709</v>
      </c>
      <c r="C7" s="5">
        <v>5686</v>
      </c>
      <c r="D7" s="5">
        <v>7049.5</v>
      </c>
      <c r="E7" s="5">
        <v>8070.5</v>
      </c>
      <c r="F7" s="5">
        <v>6554.5</v>
      </c>
      <c r="G7" s="5">
        <v>6538.5</v>
      </c>
      <c r="H7" s="5">
        <v>38608</v>
      </c>
      <c r="J7" s="4" t="s">
        <v>31</v>
      </c>
      <c r="K7" s="5">
        <v>38608</v>
      </c>
    </row>
    <row r="8" spans="1:13" x14ac:dyDescent="0.3">
      <c r="A8" s="4" t="s">
        <v>984</v>
      </c>
      <c r="B8" s="1">
        <v>28029.25</v>
      </c>
      <c r="C8" s="1">
        <v>23185.5</v>
      </c>
      <c r="D8" s="1">
        <v>30225.25</v>
      </c>
      <c r="E8" s="1">
        <v>33425.25</v>
      </c>
      <c r="F8" s="1">
        <v>30761.5</v>
      </c>
      <c r="G8" s="1">
        <v>24751.75</v>
      </c>
      <c r="H8" s="1">
        <v>170378.5</v>
      </c>
      <c r="J8" s="4" t="s">
        <v>984</v>
      </c>
      <c r="K8" s="1">
        <v>170378.5</v>
      </c>
    </row>
    <row r="11" spans="1:13" x14ac:dyDescent="0.3">
      <c r="A11" s="3" t="s">
        <v>3</v>
      </c>
      <c r="B11" t="s" vm="2">
        <v>124</v>
      </c>
    </row>
    <row r="13" spans="1:13" x14ac:dyDescent="0.3">
      <c r="A13" s="3" t="s">
        <v>985</v>
      </c>
      <c r="B13" s="3" t="s">
        <v>987</v>
      </c>
      <c r="J13" s="3" t="s">
        <v>985</v>
      </c>
      <c r="K13" s="3" t="s">
        <v>987</v>
      </c>
    </row>
    <row r="14" spans="1:13" x14ac:dyDescent="0.3">
      <c r="A14" s="3" t="s">
        <v>983</v>
      </c>
      <c r="B14">
        <v>1</v>
      </c>
      <c r="C14">
        <v>2</v>
      </c>
      <c r="D14">
        <v>3</v>
      </c>
      <c r="E14">
        <v>4</v>
      </c>
      <c r="F14">
        <v>5</v>
      </c>
      <c r="G14">
        <v>6</v>
      </c>
      <c r="H14" t="s">
        <v>984</v>
      </c>
      <c r="J14" s="3" t="s">
        <v>983</v>
      </c>
      <c r="K14" t="s">
        <v>46</v>
      </c>
      <c r="L14" t="s">
        <v>23</v>
      </c>
      <c r="M14" t="s">
        <v>984</v>
      </c>
    </row>
    <row r="15" spans="1:13" x14ac:dyDescent="0.3">
      <c r="A15" s="4" t="s">
        <v>74</v>
      </c>
      <c r="B15" s="5">
        <v>568.75</v>
      </c>
      <c r="C15" s="5">
        <v>772.25</v>
      </c>
      <c r="D15" s="5">
        <v>622.25</v>
      </c>
      <c r="E15" s="5">
        <v>890</v>
      </c>
      <c r="F15" s="5">
        <v>752.75</v>
      </c>
      <c r="G15" s="5">
        <v>1626.25</v>
      </c>
      <c r="H15" s="5">
        <v>5232.25</v>
      </c>
      <c r="J15" s="4" t="s">
        <v>74</v>
      </c>
      <c r="K15" s="5">
        <v>10309</v>
      </c>
      <c r="L15" s="5">
        <v>11024.5</v>
      </c>
      <c r="M15" s="5">
        <v>21333.5</v>
      </c>
    </row>
    <row r="16" spans="1:13" x14ac:dyDescent="0.3">
      <c r="A16" s="4" t="s">
        <v>42</v>
      </c>
      <c r="B16" s="5">
        <v>2073</v>
      </c>
      <c r="C16" s="5">
        <v>4891</v>
      </c>
      <c r="D16" s="5">
        <v>4438</v>
      </c>
      <c r="E16" s="5">
        <v>3609</v>
      </c>
      <c r="F16" s="5">
        <v>3916</v>
      </c>
      <c r="G16" s="5">
        <v>4426.5</v>
      </c>
      <c r="H16" s="5">
        <v>23353.5</v>
      </c>
      <c r="J16" s="4" t="s">
        <v>42</v>
      </c>
      <c r="K16" s="5">
        <v>51653.5</v>
      </c>
      <c r="L16" s="5">
        <v>58783.5</v>
      </c>
      <c r="M16" s="5">
        <v>110437</v>
      </c>
    </row>
    <row r="17" spans="1:13" x14ac:dyDescent="0.3">
      <c r="A17" s="4" t="s">
        <v>31</v>
      </c>
      <c r="B17" s="5">
        <v>1336</v>
      </c>
      <c r="C17" s="5">
        <v>1557</v>
      </c>
      <c r="D17" s="5">
        <v>1809.5</v>
      </c>
      <c r="E17" s="5">
        <v>1492.5</v>
      </c>
      <c r="F17" s="5">
        <v>686</v>
      </c>
      <c r="G17" s="5">
        <v>2753.5</v>
      </c>
      <c r="H17" s="5">
        <v>9634.5</v>
      </c>
      <c r="J17" s="4" t="s">
        <v>31</v>
      </c>
      <c r="K17" s="5">
        <v>19560</v>
      </c>
      <c r="L17" s="5">
        <v>19048</v>
      </c>
      <c r="M17" s="5">
        <v>38608</v>
      </c>
    </row>
    <row r="18" spans="1:13" x14ac:dyDescent="0.3">
      <c r="A18" s="4" t="s">
        <v>984</v>
      </c>
      <c r="B18" s="1">
        <v>3977.75</v>
      </c>
      <c r="C18" s="1">
        <v>7220.25</v>
      </c>
      <c r="D18" s="1">
        <v>6869.75</v>
      </c>
      <c r="E18" s="1">
        <v>5991.5</v>
      </c>
      <c r="F18" s="1">
        <v>5354.75</v>
      </c>
      <c r="G18" s="1">
        <v>8806.25</v>
      </c>
      <c r="H18" s="1">
        <v>38220.25</v>
      </c>
      <c r="J18" s="4" t="s">
        <v>984</v>
      </c>
      <c r="K18" s="1">
        <v>81522.5</v>
      </c>
      <c r="L18" s="1">
        <v>88856</v>
      </c>
      <c r="M18" s="1">
        <v>170378.5</v>
      </c>
    </row>
    <row r="21" spans="1:13" x14ac:dyDescent="0.3">
      <c r="A21" s="3" t="s">
        <v>3</v>
      </c>
      <c r="B21" t="s" vm="3">
        <v>982</v>
      </c>
    </row>
    <row r="23" spans="1:13" x14ac:dyDescent="0.3">
      <c r="A23" s="3" t="s">
        <v>985</v>
      </c>
      <c r="B23" s="3" t="s">
        <v>987</v>
      </c>
    </row>
    <row r="24" spans="1:13" x14ac:dyDescent="0.3">
      <c r="A24" s="3" t="s">
        <v>983</v>
      </c>
      <c r="B24">
        <v>1</v>
      </c>
      <c r="C24">
        <v>2</v>
      </c>
      <c r="D24">
        <v>3</v>
      </c>
      <c r="E24">
        <v>4</v>
      </c>
      <c r="F24">
        <v>5</v>
      </c>
      <c r="G24" t="s">
        <v>984</v>
      </c>
    </row>
    <row r="25" spans="1:13" x14ac:dyDescent="0.3">
      <c r="A25" s="4" t="s">
        <v>74</v>
      </c>
      <c r="B25" s="5">
        <v>105.5</v>
      </c>
      <c r="C25" s="5"/>
      <c r="D25" s="5"/>
      <c r="E25" s="5"/>
      <c r="F25" s="5">
        <v>142.5</v>
      </c>
      <c r="G25" s="5">
        <v>248</v>
      </c>
    </row>
    <row r="26" spans="1:13" x14ac:dyDescent="0.3">
      <c r="A26" s="4" t="s">
        <v>42</v>
      </c>
      <c r="B26" s="5">
        <v>174</v>
      </c>
      <c r="C26" s="5"/>
      <c r="D26" s="5">
        <v>368</v>
      </c>
      <c r="E26" s="5">
        <v>440</v>
      </c>
      <c r="F26" s="5">
        <v>1980</v>
      </c>
      <c r="G26" s="5">
        <v>2962</v>
      </c>
    </row>
    <row r="27" spans="1:13" x14ac:dyDescent="0.3">
      <c r="A27" s="4" t="s">
        <v>31</v>
      </c>
      <c r="B27" s="5"/>
      <c r="C27" s="5">
        <v>186</v>
      </c>
      <c r="D27" s="5"/>
      <c r="E27" s="5"/>
      <c r="F27" s="5"/>
      <c r="G27" s="5">
        <v>186</v>
      </c>
    </row>
    <row r="28" spans="1:13" x14ac:dyDescent="0.3">
      <c r="A28" s="4" t="s">
        <v>984</v>
      </c>
      <c r="B28" s="1">
        <v>279.5</v>
      </c>
      <c r="C28" s="1">
        <v>186</v>
      </c>
      <c r="D28" s="1">
        <v>368</v>
      </c>
      <c r="E28" s="1">
        <v>440</v>
      </c>
      <c r="F28" s="1">
        <v>2122.5</v>
      </c>
      <c r="G28" s="1">
        <v>3396</v>
      </c>
    </row>
    <row r="32" spans="1:13" x14ac:dyDescent="0.3">
      <c r="B32" s="3" t="s">
        <v>983</v>
      </c>
      <c r="C32" t="s">
        <v>989</v>
      </c>
    </row>
    <row r="33" spans="2:3" x14ac:dyDescent="0.3">
      <c r="B33" s="4" t="s">
        <v>124</v>
      </c>
      <c r="C33" s="1">
        <v>155102.25</v>
      </c>
    </row>
    <row r="34" spans="2:3" x14ac:dyDescent="0.3">
      <c r="B34" s="4" t="s">
        <v>50</v>
      </c>
      <c r="C34" s="1">
        <v>179036</v>
      </c>
    </row>
    <row r="35" spans="2:3" x14ac:dyDescent="0.3">
      <c r="B35" s="4" t="s">
        <v>59</v>
      </c>
      <c r="C35" s="1">
        <v>170635.25</v>
      </c>
    </row>
    <row r="36" spans="2:3" x14ac:dyDescent="0.3">
      <c r="B36" s="4" t="s">
        <v>28</v>
      </c>
      <c r="C36" s="1">
        <v>207474</v>
      </c>
    </row>
    <row r="37" spans="2:3" x14ac:dyDescent="0.3">
      <c r="B37" s="4" t="s">
        <v>982</v>
      </c>
      <c r="C37" s="1">
        <v>14628</v>
      </c>
    </row>
    <row r="38" spans="2:3" x14ac:dyDescent="0.3">
      <c r="B38" s="4" t="s">
        <v>984</v>
      </c>
      <c r="C38" s="1">
        <v>726875.5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0ECA-0D5D-4004-9B5E-7ECDB5B68CD9}">
  <dimension ref="A1:S563"/>
  <sheetViews>
    <sheetView topLeftCell="C1" workbookViewId="0">
      <selection activeCell="I24" sqref="I24"/>
    </sheetView>
  </sheetViews>
  <sheetFormatPr defaultRowHeight="14.4" x14ac:dyDescent="0.3"/>
  <cols>
    <col min="1" max="1" width="10.77734375" bestFit="1" customWidth="1"/>
    <col min="2" max="2" width="10.77734375" customWidth="1"/>
    <col min="3" max="3" width="12.88671875" bestFit="1" customWidth="1"/>
    <col min="4" max="4" width="14.109375" bestFit="1" customWidth="1"/>
    <col min="5" max="5" width="8.77734375" bestFit="1" customWidth="1"/>
    <col min="6" max="6" width="12.6640625" bestFit="1" customWidth="1"/>
    <col min="7" max="7" width="16" bestFit="1" customWidth="1"/>
    <col min="8" max="8" width="10.77734375" bestFit="1" customWidth="1"/>
    <col min="9" max="9" width="10.5546875" bestFit="1" customWidth="1"/>
    <col min="10" max="10" width="16.5546875" bestFit="1" customWidth="1"/>
    <col min="11" max="11" width="16.109375" bestFit="1" customWidth="1"/>
    <col min="12" max="13" width="15.44140625" bestFit="1" customWidth="1"/>
    <col min="14" max="14" width="9.88671875" bestFit="1" customWidth="1"/>
    <col min="15" max="15" width="21.5546875" bestFit="1" customWidth="1"/>
    <col min="16" max="16" width="15.109375" bestFit="1" customWidth="1"/>
    <col min="17" max="17" width="16.77734375" bestFit="1" customWidth="1"/>
    <col min="18" max="18" width="18.109375" bestFit="1" customWidth="1"/>
    <col min="19" max="19" width="14.77734375" bestFit="1" customWidth="1"/>
  </cols>
  <sheetData>
    <row r="1" spans="1:19" x14ac:dyDescent="0.3">
      <c r="A1" t="s">
        <v>0</v>
      </c>
      <c r="B1" t="s">
        <v>988</v>
      </c>
      <c r="C1" t="s">
        <v>1</v>
      </c>
      <c r="D1" t="s">
        <v>2</v>
      </c>
      <c r="E1" t="s">
        <v>3</v>
      </c>
      <c r="F1" t="s">
        <v>4</v>
      </c>
      <c r="G1" t="s">
        <v>5</v>
      </c>
      <c r="H1" t="s">
        <v>6</v>
      </c>
      <c r="I1" t="s">
        <v>7</v>
      </c>
      <c r="J1" t="s">
        <v>8</v>
      </c>
      <c r="K1" t="s">
        <v>9</v>
      </c>
      <c r="L1" t="s">
        <v>10</v>
      </c>
      <c r="M1" t="s">
        <v>11</v>
      </c>
      <c r="N1" t="s">
        <v>12</v>
      </c>
      <c r="O1" t="s">
        <v>977</v>
      </c>
      <c r="P1" t="s">
        <v>978</v>
      </c>
      <c r="Q1" t="s">
        <v>979</v>
      </c>
      <c r="R1" t="s">
        <v>980</v>
      </c>
      <c r="S1" t="s">
        <v>981</v>
      </c>
    </row>
    <row r="2" spans="1:19" x14ac:dyDescent="0.3">
      <c r="A2" s="1" t="s">
        <v>25</v>
      </c>
      <c r="B2" s="7">
        <f>MONTH(Clean_Sales[[#This Row],[Order_Date]])</f>
        <v>1</v>
      </c>
      <c r="C2" s="6">
        <v>46038</v>
      </c>
      <c r="D2" s="1" t="s">
        <v>27</v>
      </c>
      <c r="E2" s="1" t="s">
        <v>28</v>
      </c>
      <c r="F2" s="1" t="s">
        <v>29</v>
      </c>
      <c r="G2" s="1" t="s">
        <v>30</v>
      </c>
      <c r="H2" s="1" t="s">
        <v>31</v>
      </c>
      <c r="I2">
        <v>2</v>
      </c>
      <c r="J2">
        <v>280</v>
      </c>
      <c r="K2">
        <v>190</v>
      </c>
      <c r="L2">
        <v>0.15</v>
      </c>
      <c r="M2" s="1" t="s">
        <v>23</v>
      </c>
      <c r="N2" s="1" t="s">
        <v>36</v>
      </c>
      <c r="O2">
        <v>190</v>
      </c>
      <c r="P2">
        <v>476</v>
      </c>
      <c r="Q2">
        <v>380</v>
      </c>
      <c r="R2">
        <v>96</v>
      </c>
      <c r="S2">
        <v>0.20168067226890801</v>
      </c>
    </row>
    <row r="3" spans="1:19" x14ac:dyDescent="0.3">
      <c r="A3" s="1" t="s">
        <v>37</v>
      </c>
      <c r="B3" s="7">
        <f>MONTH(Clean_Sales[[#This Row],[Order_Date]])</f>
        <v>2</v>
      </c>
      <c r="C3" s="6">
        <v>46066</v>
      </c>
      <c r="D3" s="1" t="s">
        <v>39</v>
      </c>
      <c r="E3" s="1" t="s">
        <v>28</v>
      </c>
      <c r="F3" s="1" t="s">
        <v>40</v>
      </c>
      <c r="G3" s="1" t="s">
        <v>41</v>
      </c>
      <c r="H3" s="1" t="s">
        <v>42</v>
      </c>
      <c r="I3">
        <v>6</v>
      </c>
      <c r="J3">
        <v>1250</v>
      </c>
      <c r="K3">
        <v>940</v>
      </c>
      <c r="L3">
        <v>0.15</v>
      </c>
      <c r="M3" s="1" t="s">
        <v>46</v>
      </c>
      <c r="N3" s="1" t="s">
        <v>36</v>
      </c>
      <c r="O3">
        <v>940</v>
      </c>
      <c r="P3">
        <v>6375</v>
      </c>
      <c r="Q3">
        <v>5640</v>
      </c>
      <c r="R3">
        <v>735</v>
      </c>
      <c r="S3">
        <v>0.11529411764705901</v>
      </c>
    </row>
    <row r="4" spans="1:19" x14ac:dyDescent="0.3">
      <c r="A4" s="1" t="s">
        <v>47</v>
      </c>
      <c r="B4" s="7">
        <f>MONTH(Clean_Sales[[#This Row],[Order_Date]])</f>
        <v>2</v>
      </c>
      <c r="C4" s="6">
        <v>46062</v>
      </c>
      <c r="D4" s="1" t="s">
        <v>49</v>
      </c>
      <c r="E4" s="1" t="s">
        <v>50</v>
      </c>
      <c r="F4" s="1" t="s">
        <v>51</v>
      </c>
      <c r="G4" s="1" t="s">
        <v>52</v>
      </c>
      <c r="H4" s="1" t="s">
        <v>42</v>
      </c>
      <c r="I4">
        <v>7</v>
      </c>
      <c r="J4">
        <v>310</v>
      </c>
      <c r="K4">
        <v>220</v>
      </c>
      <c r="L4">
        <v>0.15</v>
      </c>
      <c r="M4" s="1" t="s">
        <v>46</v>
      </c>
      <c r="N4" s="1" t="s">
        <v>36</v>
      </c>
      <c r="O4">
        <v>220</v>
      </c>
      <c r="P4">
        <v>1844.5</v>
      </c>
      <c r="Q4">
        <v>1540</v>
      </c>
      <c r="R4">
        <v>304.5</v>
      </c>
      <c r="S4">
        <v>0.165085388994307</v>
      </c>
    </row>
    <row r="5" spans="1:19" x14ac:dyDescent="0.3">
      <c r="A5" s="1" t="s">
        <v>56</v>
      </c>
      <c r="B5" s="7">
        <f>MONTH(Clean_Sales[[#This Row],[Order_Date]])</f>
        <v>3</v>
      </c>
      <c r="C5" s="6">
        <v>46089</v>
      </c>
      <c r="D5" s="1" t="s">
        <v>58</v>
      </c>
      <c r="E5" s="1" t="s">
        <v>59</v>
      </c>
      <c r="F5" s="1" t="s">
        <v>51</v>
      </c>
      <c r="G5" s="1" t="s">
        <v>52</v>
      </c>
      <c r="H5" s="1" t="s">
        <v>42</v>
      </c>
      <c r="I5">
        <v>7</v>
      </c>
      <c r="J5">
        <v>310</v>
      </c>
      <c r="K5">
        <v>220</v>
      </c>
      <c r="L5">
        <v>0.05</v>
      </c>
      <c r="M5" s="1" t="s">
        <v>23</v>
      </c>
      <c r="N5" s="1" t="s">
        <v>36</v>
      </c>
      <c r="O5">
        <v>220</v>
      </c>
      <c r="P5">
        <v>2061.5</v>
      </c>
      <c r="Q5">
        <v>1540</v>
      </c>
      <c r="R5">
        <v>521.5</v>
      </c>
      <c r="S5">
        <v>0.25297113752122202</v>
      </c>
    </row>
    <row r="6" spans="1:19" x14ac:dyDescent="0.3">
      <c r="A6" s="1" t="s">
        <v>61</v>
      </c>
      <c r="B6" s="7">
        <f>MONTH(Clean_Sales[[#This Row],[Order_Date]])</f>
        <v>3</v>
      </c>
      <c r="C6" s="6">
        <v>46086</v>
      </c>
      <c r="D6" s="1" t="s">
        <v>63</v>
      </c>
      <c r="E6" s="1" t="s">
        <v>59</v>
      </c>
      <c r="F6" s="1" t="s">
        <v>64</v>
      </c>
      <c r="G6" s="1" t="s">
        <v>65</v>
      </c>
      <c r="H6" s="1" t="s">
        <v>42</v>
      </c>
      <c r="I6">
        <v>8</v>
      </c>
      <c r="J6">
        <v>360</v>
      </c>
      <c r="K6">
        <v>250</v>
      </c>
      <c r="L6">
        <v>0</v>
      </c>
      <c r="M6" s="1" t="s">
        <v>46</v>
      </c>
      <c r="N6" s="1" t="s">
        <v>36</v>
      </c>
      <c r="O6">
        <v>250</v>
      </c>
      <c r="P6">
        <v>2880</v>
      </c>
      <c r="Q6">
        <v>2000</v>
      </c>
      <c r="R6">
        <v>880</v>
      </c>
      <c r="S6">
        <v>0.30555555555555602</v>
      </c>
    </row>
    <row r="7" spans="1:19" x14ac:dyDescent="0.3">
      <c r="A7" s="1" t="s">
        <v>69</v>
      </c>
      <c r="B7" s="7">
        <f>MONTH(Clean_Sales[[#This Row],[Order_Date]])</f>
        <v>1</v>
      </c>
      <c r="C7" s="6">
        <v>46044</v>
      </c>
      <c r="D7" s="1" t="s">
        <v>71</v>
      </c>
      <c r="E7" s="1" t="s">
        <v>28</v>
      </c>
      <c r="F7" s="1" t="s">
        <v>72</v>
      </c>
      <c r="G7" s="1" t="s">
        <v>73</v>
      </c>
      <c r="H7" s="1" t="s">
        <v>74</v>
      </c>
      <c r="I7">
        <v>8</v>
      </c>
      <c r="J7">
        <v>65</v>
      </c>
      <c r="K7">
        <v>35</v>
      </c>
      <c r="L7">
        <v>0</v>
      </c>
      <c r="M7" s="1" t="s">
        <v>46</v>
      </c>
      <c r="N7" s="1" t="s">
        <v>36</v>
      </c>
      <c r="O7">
        <v>35</v>
      </c>
      <c r="P7">
        <v>520</v>
      </c>
      <c r="Q7">
        <v>280</v>
      </c>
      <c r="R7">
        <v>240</v>
      </c>
      <c r="S7">
        <v>0.46153846153846201</v>
      </c>
    </row>
    <row r="8" spans="1:19" x14ac:dyDescent="0.3">
      <c r="A8" s="1" t="s">
        <v>77</v>
      </c>
      <c r="B8" s="7">
        <f>MONTH(Clean_Sales[[#This Row],[Order_Date]])</f>
        <v>6</v>
      </c>
      <c r="C8" s="6">
        <v>46189</v>
      </c>
      <c r="D8" s="1" t="s">
        <v>79</v>
      </c>
      <c r="E8" s="1" t="s">
        <v>59</v>
      </c>
      <c r="F8" s="1" t="s">
        <v>17</v>
      </c>
      <c r="G8" s="1" t="s">
        <v>18</v>
      </c>
      <c r="H8" s="1" t="s">
        <v>74</v>
      </c>
      <c r="I8">
        <v>6</v>
      </c>
      <c r="J8">
        <v>25</v>
      </c>
      <c r="K8">
        <v>12</v>
      </c>
      <c r="L8">
        <v>0.15</v>
      </c>
      <c r="M8" s="1" t="s">
        <v>46</v>
      </c>
      <c r="N8" s="1" t="s">
        <v>36</v>
      </c>
      <c r="O8">
        <v>12</v>
      </c>
      <c r="P8">
        <v>127.5</v>
      </c>
      <c r="Q8">
        <v>72</v>
      </c>
      <c r="R8">
        <v>55.5</v>
      </c>
      <c r="S8">
        <v>0.435294117647059</v>
      </c>
    </row>
    <row r="9" spans="1:19" x14ac:dyDescent="0.3">
      <c r="A9" s="1" t="s">
        <v>82</v>
      </c>
      <c r="B9" s="7">
        <f>MONTH(Clean_Sales[[#This Row],[Order_Date]])</f>
        <v>3</v>
      </c>
      <c r="C9" s="6">
        <v>46100</v>
      </c>
      <c r="D9" s="1" t="s">
        <v>84</v>
      </c>
      <c r="E9" s="1" t="s">
        <v>59</v>
      </c>
      <c r="F9" s="1" t="s">
        <v>17</v>
      </c>
      <c r="G9" s="1" t="s">
        <v>18</v>
      </c>
      <c r="H9" s="1" t="s">
        <v>74</v>
      </c>
      <c r="I9">
        <v>4</v>
      </c>
      <c r="J9">
        <v>25</v>
      </c>
      <c r="K9">
        <v>12</v>
      </c>
      <c r="L9">
        <v>0</v>
      </c>
      <c r="M9" s="1" t="s">
        <v>23</v>
      </c>
      <c r="N9" s="1" t="s">
        <v>36</v>
      </c>
      <c r="O9">
        <v>12</v>
      </c>
      <c r="P9">
        <v>100</v>
      </c>
      <c r="Q9">
        <v>48</v>
      </c>
      <c r="R9">
        <v>52</v>
      </c>
      <c r="S9">
        <v>0.52</v>
      </c>
    </row>
    <row r="10" spans="1:19" x14ac:dyDescent="0.3">
      <c r="A10" s="1" t="s">
        <v>86</v>
      </c>
      <c r="B10" s="7">
        <f>MONTH(Clean_Sales[[#This Row],[Order_Date]])</f>
        <v>6</v>
      </c>
      <c r="C10" s="6">
        <v>46183</v>
      </c>
      <c r="D10" s="1" t="s">
        <v>88</v>
      </c>
      <c r="E10" s="1" t="s">
        <v>50</v>
      </c>
      <c r="F10" s="1" t="s">
        <v>89</v>
      </c>
      <c r="G10" s="1" t="s">
        <v>90</v>
      </c>
      <c r="H10" s="1" t="s">
        <v>74</v>
      </c>
      <c r="I10">
        <v>3</v>
      </c>
      <c r="J10">
        <v>85</v>
      </c>
      <c r="K10">
        <v>48</v>
      </c>
      <c r="L10">
        <v>0.05</v>
      </c>
      <c r="M10" s="1" t="s">
        <v>46</v>
      </c>
      <c r="N10" s="1" t="s">
        <v>36</v>
      </c>
      <c r="O10">
        <v>48</v>
      </c>
      <c r="P10">
        <v>242.25</v>
      </c>
      <c r="Q10">
        <v>144</v>
      </c>
      <c r="R10">
        <v>98.25</v>
      </c>
      <c r="S10">
        <v>0.40557275541795701</v>
      </c>
    </row>
    <row r="11" spans="1:19" x14ac:dyDescent="0.3">
      <c r="A11" s="1" t="s">
        <v>94</v>
      </c>
      <c r="B11" s="7">
        <f>MONTH(Clean_Sales[[#This Row],[Order_Date]])</f>
        <v>2</v>
      </c>
      <c r="C11" s="6">
        <v>46080</v>
      </c>
      <c r="D11" s="1" t="s">
        <v>96</v>
      </c>
      <c r="E11" s="1" t="s">
        <v>59</v>
      </c>
      <c r="F11" s="1" t="s">
        <v>17</v>
      </c>
      <c r="G11" s="1" t="s">
        <v>18</v>
      </c>
      <c r="H11" s="1" t="s">
        <v>74</v>
      </c>
      <c r="I11">
        <v>7</v>
      </c>
      <c r="J11">
        <v>25</v>
      </c>
      <c r="K11">
        <v>12</v>
      </c>
      <c r="L11">
        <v>0</v>
      </c>
      <c r="M11" s="1" t="s">
        <v>23</v>
      </c>
      <c r="N11" s="1" t="s">
        <v>36</v>
      </c>
      <c r="O11">
        <v>12</v>
      </c>
      <c r="P11">
        <v>175</v>
      </c>
      <c r="Q11">
        <v>84</v>
      </c>
      <c r="R11">
        <v>91</v>
      </c>
      <c r="S11">
        <v>0.52</v>
      </c>
    </row>
    <row r="12" spans="1:19" x14ac:dyDescent="0.3">
      <c r="A12" s="1" t="s">
        <v>97</v>
      </c>
      <c r="B12" s="7">
        <f>MONTH(Clean_Sales[[#This Row],[Order_Date]])</f>
        <v>5</v>
      </c>
      <c r="C12" s="6">
        <v>46173</v>
      </c>
      <c r="D12" s="1" t="s">
        <v>99</v>
      </c>
      <c r="E12" s="1" t="s">
        <v>28</v>
      </c>
      <c r="F12" s="1" t="s">
        <v>51</v>
      </c>
      <c r="G12" s="1" t="s">
        <v>52</v>
      </c>
      <c r="H12" s="1" t="s">
        <v>42</v>
      </c>
      <c r="I12">
        <v>7</v>
      </c>
      <c r="J12">
        <v>310</v>
      </c>
      <c r="K12">
        <v>220</v>
      </c>
      <c r="L12">
        <v>0</v>
      </c>
      <c r="M12" s="1" t="s">
        <v>23</v>
      </c>
      <c r="N12" s="1" t="s">
        <v>36</v>
      </c>
      <c r="O12">
        <v>220</v>
      </c>
      <c r="P12">
        <v>2170</v>
      </c>
      <c r="Q12">
        <v>1540</v>
      </c>
      <c r="R12">
        <v>630</v>
      </c>
      <c r="S12">
        <v>0.29032258064516098</v>
      </c>
    </row>
    <row r="13" spans="1:19" x14ac:dyDescent="0.3">
      <c r="A13" s="1" t="s">
        <v>100</v>
      </c>
      <c r="B13" s="7">
        <f>MONTH(Clean_Sales[[#This Row],[Order_Date]])</f>
        <v>6</v>
      </c>
      <c r="C13" s="6">
        <v>46194</v>
      </c>
      <c r="D13" s="1" t="s">
        <v>102</v>
      </c>
      <c r="E13" s="1" t="s">
        <v>59</v>
      </c>
      <c r="F13" s="1" t="s">
        <v>72</v>
      </c>
      <c r="G13" s="1" t="s">
        <v>73</v>
      </c>
      <c r="H13" s="1" t="s">
        <v>74</v>
      </c>
      <c r="I13">
        <v>4</v>
      </c>
      <c r="J13">
        <v>65</v>
      </c>
      <c r="K13">
        <v>35</v>
      </c>
      <c r="L13">
        <v>0.05</v>
      </c>
      <c r="M13" s="1" t="s">
        <v>23</v>
      </c>
      <c r="N13" s="1" t="s">
        <v>36</v>
      </c>
      <c r="O13">
        <v>35</v>
      </c>
      <c r="P13">
        <v>247</v>
      </c>
      <c r="Q13">
        <v>140</v>
      </c>
      <c r="R13">
        <v>107</v>
      </c>
      <c r="S13">
        <v>0.43319838056680199</v>
      </c>
    </row>
    <row r="14" spans="1:19" x14ac:dyDescent="0.3">
      <c r="A14" s="1" t="s">
        <v>103</v>
      </c>
      <c r="B14" s="7">
        <f>MONTH(Clean_Sales[[#This Row],[Order_Date]])</f>
        <v>1</v>
      </c>
      <c r="C14" s="6">
        <v>46024</v>
      </c>
      <c r="D14" s="1" t="s">
        <v>105</v>
      </c>
      <c r="E14" s="1" t="s">
        <v>59</v>
      </c>
      <c r="F14" s="1" t="s">
        <v>106</v>
      </c>
      <c r="G14" s="1" t="s">
        <v>107</v>
      </c>
      <c r="H14" s="1" t="s">
        <v>31</v>
      </c>
      <c r="I14">
        <v>6</v>
      </c>
      <c r="J14">
        <v>190</v>
      </c>
      <c r="K14">
        <v>115</v>
      </c>
      <c r="L14">
        <v>0.15</v>
      </c>
      <c r="M14" s="1" t="s">
        <v>23</v>
      </c>
      <c r="N14" s="1" t="s">
        <v>36</v>
      </c>
      <c r="O14">
        <v>115</v>
      </c>
      <c r="P14">
        <v>969</v>
      </c>
      <c r="Q14">
        <v>690</v>
      </c>
      <c r="R14">
        <v>279</v>
      </c>
      <c r="S14">
        <v>0.28792569659442702</v>
      </c>
    </row>
    <row r="15" spans="1:19" x14ac:dyDescent="0.3">
      <c r="A15" s="1" t="s">
        <v>109</v>
      </c>
      <c r="B15" s="7">
        <f>MONTH(Clean_Sales[[#This Row],[Order_Date]])</f>
        <v>5</v>
      </c>
      <c r="C15" s="6">
        <v>46144</v>
      </c>
      <c r="D15" s="1" t="s">
        <v>111</v>
      </c>
      <c r="E15" s="1" t="s">
        <v>59</v>
      </c>
      <c r="F15" s="1" t="s">
        <v>72</v>
      </c>
      <c r="G15" s="1" t="s">
        <v>73</v>
      </c>
      <c r="H15" s="1" t="s">
        <v>74</v>
      </c>
      <c r="I15">
        <v>4</v>
      </c>
      <c r="J15">
        <v>65</v>
      </c>
      <c r="K15">
        <v>35</v>
      </c>
      <c r="L15">
        <v>0.05</v>
      </c>
      <c r="M15" s="1" t="s">
        <v>46</v>
      </c>
      <c r="N15" s="1" t="s">
        <v>36</v>
      </c>
      <c r="O15">
        <v>35</v>
      </c>
      <c r="P15">
        <v>247</v>
      </c>
      <c r="Q15">
        <v>140</v>
      </c>
      <c r="R15">
        <v>107</v>
      </c>
      <c r="S15">
        <v>0.43319838056680199</v>
      </c>
    </row>
    <row r="16" spans="1:19" x14ac:dyDescent="0.3">
      <c r="A16" s="1" t="s">
        <v>112</v>
      </c>
      <c r="B16" s="7">
        <f>MONTH(Clean_Sales[[#This Row],[Order_Date]])</f>
        <v>3</v>
      </c>
      <c r="C16" s="6">
        <v>46097</v>
      </c>
      <c r="D16" s="1" t="s">
        <v>105</v>
      </c>
      <c r="E16" s="1" t="s">
        <v>50</v>
      </c>
      <c r="F16" s="1" t="s">
        <v>72</v>
      </c>
      <c r="G16" s="1" t="s">
        <v>73</v>
      </c>
      <c r="H16" s="1" t="s">
        <v>74</v>
      </c>
      <c r="I16">
        <v>4</v>
      </c>
      <c r="J16">
        <v>65</v>
      </c>
      <c r="K16">
        <v>35</v>
      </c>
      <c r="L16">
        <v>0.1</v>
      </c>
      <c r="M16" s="1" t="s">
        <v>23</v>
      </c>
      <c r="N16" s="1" t="s">
        <v>36</v>
      </c>
      <c r="O16">
        <v>35</v>
      </c>
      <c r="P16">
        <v>234</v>
      </c>
      <c r="Q16">
        <v>140</v>
      </c>
      <c r="R16">
        <v>94</v>
      </c>
      <c r="S16">
        <v>0.401709401709402</v>
      </c>
    </row>
    <row r="17" spans="1:19" x14ac:dyDescent="0.3">
      <c r="A17" s="1" t="s">
        <v>115</v>
      </c>
      <c r="B17" s="7">
        <f>MONTH(Clean_Sales[[#This Row],[Order_Date]])</f>
        <v>1</v>
      </c>
      <c r="C17" s="6">
        <v>46046</v>
      </c>
      <c r="D17" s="1" t="s">
        <v>117</v>
      </c>
      <c r="E17" s="1" t="s">
        <v>50</v>
      </c>
      <c r="F17" s="1" t="s">
        <v>106</v>
      </c>
      <c r="G17" s="1" t="s">
        <v>107</v>
      </c>
      <c r="H17" s="1" t="s">
        <v>31</v>
      </c>
      <c r="I17">
        <v>3</v>
      </c>
      <c r="J17">
        <v>190</v>
      </c>
      <c r="K17">
        <v>115</v>
      </c>
      <c r="L17">
        <v>0.1</v>
      </c>
      <c r="M17" s="1" t="s">
        <v>46</v>
      </c>
      <c r="N17" s="1" t="s">
        <v>36</v>
      </c>
      <c r="O17">
        <v>115</v>
      </c>
      <c r="P17">
        <v>513</v>
      </c>
      <c r="Q17">
        <v>345</v>
      </c>
      <c r="R17">
        <v>168</v>
      </c>
      <c r="S17">
        <v>0.32748538011695899</v>
      </c>
    </row>
    <row r="18" spans="1:19" x14ac:dyDescent="0.3">
      <c r="A18" s="1" t="s">
        <v>118</v>
      </c>
      <c r="B18" s="7">
        <f>MONTH(Clean_Sales[[#This Row],[Order_Date]])</f>
        <v>5</v>
      </c>
      <c r="C18" s="6">
        <v>46172</v>
      </c>
      <c r="D18" s="1" t="s">
        <v>120</v>
      </c>
      <c r="E18" s="1" t="s">
        <v>59</v>
      </c>
      <c r="F18" s="1" t="s">
        <v>106</v>
      </c>
      <c r="G18" s="1" t="s">
        <v>107</v>
      </c>
      <c r="H18" s="1" t="s">
        <v>31</v>
      </c>
      <c r="I18">
        <v>2</v>
      </c>
      <c r="J18">
        <v>190</v>
      </c>
      <c r="K18">
        <v>115</v>
      </c>
      <c r="L18">
        <v>0.15</v>
      </c>
      <c r="M18" s="1" t="s">
        <v>23</v>
      </c>
      <c r="N18" s="1" t="s">
        <v>36</v>
      </c>
      <c r="O18">
        <v>115</v>
      </c>
      <c r="P18">
        <v>323</v>
      </c>
      <c r="Q18">
        <v>230</v>
      </c>
      <c r="R18">
        <v>93</v>
      </c>
      <c r="S18">
        <v>0.28792569659442702</v>
      </c>
    </row>
    <row r="19" spans="1:19" x14ac:dyDescent="0.3">
      <c r="A19" s="1" t="s">
        <v>121</v>
      </c>
      <c r="B19" s="7">
        <f>MONTH(Clean_Sales[[#This Row],[Order_Date]])</f>
        <v>2</v>
      </c>
      <c r="C19" s="6">
        <v>46073</v>
      </c>
      <c r="D19" s="1" t="s">
        <v>123</v>
      </c>
      <c r="E19" s="1" t="s">
        <v>124</v>
      </c>
      <c r="F19" s="1" t="s">
        <v>106</v>
      </c>
      <c r="G19" s="1" t="s">
        <v>107</v>
      </c>
      <c r="H19" s="1" t="s">
        <v>31</v>
      </c>
      <c r="I19">
        <v>7</v>
      </c>
      <c r="J19">
        <v>190</v>
      </c>
      <c r="K19">
        <v>115</v>
      </c>
      <c r="L19">
        <v>0.15</v>
      </c>
      <c r="M19" s="1" t="s">
        <v>46</v>
      </c>
      <c r="N19" s="1" t="s">
        <v>36</v>
      </c>
      <c r="O19">
        <v>115</v>
      </c>
      <c r="P19">
        <v>1130.5</v>
      </c>
      <c r="Q19">
        <v>805</v>
      </c>
      <c r="R19">
        <v>325.5</v>
      </c>
      <c r="S19">
        <v>0.28792569659442702</v>
      </c>
    </row>
    <row r="20" spans="1:19" x14ac:dyDescent="0.3">
      <c r="A20" s="1" t="s">
        <v>125</v>
      </c>
      <c r="B20" s="7">
        <f>MONTH(Clean_Sales[[#This Row],[Order_Date]])</f>
        <v>6</v>
      </c>
      <c r="C20" s="6">
        <v>46184</v>
      </c>
      <c r="D20" s="1" t="s">
        <v>123</v>
      </c>
      <c r="E20" s="1" t="s">
        <v>28</v>
      </c>
      <c r="F20" s="1" t="s">
        <v>72</v>
      </c>
      <c r="G20" s="1" t="s">
        <v>73</v>
      </c>
      <c r="H20" s="1" t="s">
        <v>74</v>
      </c>
      <c r="I20">
        <v>5</v>
      </c>
      <c r="J20">
        <v>65</v>
      </c>
      <c r="K20">
        <v>35</v>
      </c>
      <c r="L20">
        <v>0</v>
      </c>
      <c r="M20" s="1" t="s">
        <v>23</v>
      </c>
      <c r="N20" s="1" t="s">
        <v>36</v>
      </c>
      <c r="O20">
        <v>35</v>
      </c>
      <c r="P20">
        <v>325</v>
      </c>
      <c r="Q20">
        <v>175</v>
      </c>
      <c r="R20">
        <v>150</v>
      </c>
      <c r="S20">
        <v>0.46153846153846201</v>
      </c>
    </row>
    <row r="21" spans="1:19" x14ac:dyDescent="0.3">
      <c r="A21" s="1" t="s">
        <v>128</v>
      </c>
      <c r="B21" s="7">
        <f>MONTH(Clean_Sales[[#This Row],[Order_Date]])</f>
        <v>3</v>
      </c>
      <c r="C21" s="6">
        <v>46108</v>
      </c>
      <c r="D21" s="1" t="s">
        <v>63</v>
      </c>
      <c r="E21" s="1" t="s">
        <v>50</v>
      </c>
      <c r="F21" s="1" t="s">
        <v>29</v>
      </c>
      <c r="G21" s="1" t="s">
        <v>30</v>
      </c>
      <c r="H21" s="1" t="s">
        <v>31</v>
      </c>
      <c r="I21">
        <v>8</v>
      </c>
      <c r="J21">
        <v>280</v>
      </c>
      <c r="K21">
        <v>190</v>
      </c>
      <c r="L21">
        <v>0.1</v>
      </c>
      <c r="M21" s="1" t="s">
        <v>46</v>
      </c>
      <c r="N21" s="1" t="s">
        <v>36</v>
      </c>
      <c r="O21">
        <v>190</v>
      </c>
      <c r="P21">
        <v>2016</v>
      </c>
      <c r="Q21">
        <v>1520</v>
      </c>
      <c r="R21">
        <v>496</v>
      </c>
      <c r="S21">
        <v>0.24603174603174599</v>
      </c>
    </row>
    <row r="22" spans="1:19" x14ac:dyDescent="0.3">
      <c r="A22" s="1" t="s">
        <v>130</v>
      </c>
      <c r="B22" s="7">
        <f>MONTH(Clean_Sales[[#This Row],[Order_Date]])</f>
        <v>2</v>
      </c>
      <c r="C22" s="6">
        <v>46056</v>
      </c>
      <c r="D22" s="1" t="s">
        <v>132</v>
      </c>
      <c r="E22" s="1" t="s">
        <v>28</v>
      </c>
      <c r="F22" s="1" t="s">
        <v>40</v>
      </c>
      <c r="G22" s="1" t="s">
        <v>41</v>
      </c>
      <c r="H22" s="1" t="s">
        <v>42</v>
      </c>
      <c r="I22">
        <v>3</v>
      </c>
      <c r="J22">
        <v>1250</v>
      </c>
      <c r="K22">
        <v>940</v>
      </c>
      <c r="L22">
        <v>0.15</v>
      </c>
      <c r="M22" s="1" t="s">
        <v>23</v>
      </c>
      <c r="N22" s="1" t="s">
        <v>36</v>
      </c>
      <c r="O22">
        <v>940</v>
      </c>
      <c r="P22">
        <v>3187.5</v>
      </c>
      <c r="Q22">
        <v>2820</v>
      </c>
      <c r="R22">
        <v>367.5</v>
      </c>
      <c r="S22">
        <v>0.11529411764705901</v>
      </c>
    </row>
    <row r="23" spans="1:19" x14ac:dyDescent="0.3">
      <c r="A23" s="1" t="s">
        <v>133</v>
      </c>
      <c r="B23" s="7">
        <f>MONTH(Clean_Sales[[#This Row],[Order_Date]])</f>
        <v>4</v>
      </c>
      <c r="C23" s="6">
        <v>46114</v>
      </c>
      <c r="D23" s="1" t="s">
        <v>63</v>
      </c>
      <c r="E23" s="1" t="s">
        <v>28</v>
      </c>
      <c r="F23" s="1" t="s">
        <v>72</v>
      </c>
      <c r="G23" s="1" t="s">
        <v>73</v>
      </c>
      <c r="H23" s="1" t="s">
        <v>74</v>
      </c>
      <c r="I23">
        <v>4</v>
      </c>
      <c r="J23">
        <v>65</v>
      </c>
      <c r="K23">
        <v>35</v>
      </c>
      <c r="L23">
        <v>0</v>
      </c>
      <c r="M23" s="1" t="s">
        <v>46</v>
      </c>
      <c r="N23" s="1" t="s">
        <v>36</v>
      </c>
      <c r="O23">
        <v>35</v>
      </c>
      <c r="P23">
        <v>260</v>
      </c>
      <c r="Q23">
        <v>140</v>
      </c>
      <c r="R23">
        <v>120</v>
      </c>
      <c r="S23">
        <v>0.46153846153846201</v>
      </c>
    </row>
    <row r="24" spans="1:19" x14ac:dyDescent="0.3">
      <c r="A24" s="1" t="s">
        <v>135</v>
      </c>
      <c r="B24" s="7">
        <f>MONTH(Clean_Sales[[#This Row],[Order_Date]])</f>
        <v>2</v>
      </c>
      <c r="C24" s="6">
        <v>46069</v>
      </c>
      <c r="D24" s="1" t="s">
        <v>137</v>
      </c>
      <c r="E24" s="1" t="s">
        <v>28</v>
      </c>
      <c r="F24" s="1" t="s">
        <v>17</v>
      </c>
      <c r="G24" s="1" t="s">
        <v>18</v>
      </c>
      <c r="H24" s="1" t="s">
        <v>74</v>
      </c>
      <c r="I24">
        <v>3</v>
      </c>
      <c r="J24">
        <v>25</v>
      </c>
      <c r="K24">
        <v>12</v>
      </c>
      <c r="L24">
        <v>0</v>
      </c>
      <c r="M24" s="1" t="s">
        <v>23</v>
      </c>
      <c r="N24" s="1" t="s">
        <v>36</v>
      </c>
      <c r="O24">
        <v>12</v>
      </c>
      <c r="P24">
        <v>75</v>
      </c>
      <c r="Q24">
        <v>36</v>
      </c>
      <c r="R24">
        <v>39</v>
      </c>
      <c r="S24">
        <v>0.52</v>
      </c>
    </row>
    <row r="25" spans="1:19" x14ac:dyDescent="0.3">
      <c r="A25" s="1" t="s">
        <v>138</v>
      </c>
      <c r="B25" s="7">
        <f>MONTH(Clean_Sales[[#This Row],[Order_Date]])</f>
        <v>5</v>
      </c>
      <c r="C25" s="6">
        <v>46150</v>
      </c>
      <c r="D25" s="1" t="s">
        <v>140</v>
      </c>
      <c r="E25" s="1" t="s">
        <v>59</v>
      </c>
      <c r="F25" s="1" t="s">
        <v>89</v>
      </c>
      <c r="G25" s="1" t="s">
        <v>90</v>
      </c>
      <c r="H25" s="1" t="s">
        <v>74</v>
      </c>
      <c r="I25">
        <v>7</v>
      </c>
      <c r="J25">
        <v>85</v>
      </c>
      <c r="K25">
        <v>48</v>
      </c>
      <c r="L25">
        <v>0.15</v>
      </c>
      <c r="M25" s="1" t="s">
        <v>23</v>
      </c>
      <c r="N25" s="1" t="s">
        <v>36</v>
      </c>
      <c r="O25">
        <v>48</v>
      </c>
      <c r="P25">
        <v>505.75</v>
      </c>
      <c r="Q25">
        <v>336</v>
      </c>
      <c r="R25">
        <v>169.75</v>
      </c>
      <c r="S25">
        <v>0.33564013840830398</v>
      </c>
    </row>
    <row r="26" spans="1:19" x14ac:dyDescent="0.3">
      <c r="A26" s="1" t="s">
        <v>141</v>
      </c>
      <c r="B26" s="7">
        <f>MONTH(Clean_Sales[[#This Row],[Order_Date]])</f>
        <v>5</v>
      </c>
      <c r="C26" s="6">
        <v>46152</v>
      </c>
      <c r="D26" s="1" t="s">
        <v>58</v>
      </c>
      <c r="E26" s="1" t="s">
        <v>50</v>
      </c>
      <c r="F26" s="1" t="s">
        <v>72</v>
      </c>
      <c r="G26" s="1" t="s">
        <v>73</v>
      </c>
      <c r="H26" s="1" t="s">
        <v>74</v>
      </c>
      <c r="I26">
        <v>4</v>
      </c>
      <c r="J26">
        <v>65</v>
      </c>
      <c r="K26">
        <v>35</v>
      </c>
      <c r="L26">
        <v>0</v>
      </c>
      <c r="M26" s="1" t="s">
        <v>46</v>
      </c>
      <c r="N26" s="1" t="s">
        <v>36</v>
      </c>
      <c r="O26">
        <v>35</v>
      </c>
      <c r="P26">
        <v>260</v>
      </c>
      <c r="Q26">
        <v>140</v>
      </c>
      <c r="R26">
        <v>120</v>
      </c>
      <c r="S26">
        <v>0.46153846153846201</v>
      </c>
    </row>
    <row r="27" spans="1:19" x14ac:dyDescent="0.3">
      <c r="A27" s="1" t="s">
        <v>143</v>
      </c>
      <c r="B27" s="7">
        <f>MONTH(Clean_Sales[[#This Row],[Order_Date]])</f>
        <v>6</v>
      </c>
      <c r="C27" s="6">
        <v>46199</v>
      </c>
      <c r="D27" s="1" t="s">
        <v>145</v>
      </c>
      <c r="E27" s="1" t="s">
        <v>124</v>
      </c>
      <c r="F27" s="1" t="s">
        <v>72</v>
      </c>
      <c r="G27" s="1" t="s">
        <v>73</v>
      </c>
      <c r="H27" s="1" t="s">
        <v>74</v>
      </c>
      <c r="I27">
        <v>2</v>
      </c>
      <c r="J27">
        <v>65</v>
      </c>
      <c r="K27">
        <v>35</v>
      </c>
      <c r="L27">
        <v>0.1</v>
      </c>
      <c r="M27" s="1" t="s">
        <v>46</v>
      </c>
      <c r="N27" s="1" t="s">
        <v>36</v>
      </c>
      <c r="O27">
        <v>35</v>
      </c>
      <c r="P27">
        <v>117</v>
      </c>
      <c r="Q27">
        <v>70</v>
      </c>
      <c r="R27">
        <v>47</v>
      </c>
      <c r="S27">
        <v>0.401709401709402</v>
      </c>
    </row>
    <row r="28" spans="1:19" x14ac:dyDescent="0.3">
      <c r="A28" s="1" t="s">
        <v>146</v>
      </c>
      <c r="B28" s="7">
        <f>MONTH(Clean_Sales[[#This Row],[Order_Date]])</f>
        <v>2</v>
      </c>
      <c r="C28" s="6">
        <v>46072</v>
      </c>
      <c r="D28" s="1" t="s">
        <v>148</v>
      </c>
      <c r="E28" s="1" t="s">
        <v>50</v>
      </c>
      <c r="F28" s="1" t="s">
        <v>17</v>
      </c>
      <c r="G28" s="1" t="s">
        <v>18</v>
      </c>
      <c r="H28" s="1" t="s">
        <v>74</v>
      </c>
      <c r="I28">
        <v>1</v>
      </c>
      <c r="J28">
        <v>25</v>
      </c>
      <c r="K28">
        <v>12</v>
      </c>
      <c r="L28">
        <v>0.1</v>
      </c>
      <c r="M28" s="1" t="s">
        <v>23</v>
      </c>
      <c r="N28" s="1" t="s">
        <v>36</v>
      </c>
      <c r="O28">
        <v>12</v>
      </c>
      <c r="P28">
        <v>22.5</v>
      </c>
      <c r="Q28">
        <v>12</v>
      </c>
      <c r="R28">
        <v>10.5</v>
      </c>
      <c r="S28">
        <v>0.46666666666666701</v>
      </c>
    </row>
    <row r="29" spans="1:19" x14ac:dyDescent="0.3">
      <c r="A29" s="1" t="s">
        <v>150</v>
      </c>
      <c r="B29" s="7">
        <f>MONTH(Clean_Sales[[#This Row],[Order_Date]])</f>
        <v>6</v>
      </c>
      <c r="C29" s="6">
        <v>46177</v>
      </c>
      <c r="D29" s="1" t="s">
        <v>152</v>
      </c>
      <c r="E29" s="1" t="s">
        <v>28</v>
      </c>
      <c r="F29" s="1" t="s">
        <v>17</v>
      </c>
      <c r="G29" s="1" t="s">
        <v>18</v>
      </c>
      <c r="H29" s="1" t="s">
        <v>74</v>
      </c>
      <c r="I29">
        <v>8</v>
      </c>
      <c r="J29">
        <v>25</v>
      </c>
      <c r="K29">
        <v>12</v>
      </c>
      <c r="L29">
        <v>0</v>
      </c>
      <c r="M29" s="1" t="s">
        <v>46</v>
      </c>
      <c r="N29" s="1" t="s">
        <v>36</v>
      </c>
      <c r="O29">
        <v>12</v>
      </c>
      <c r="P29">
        <v>200</v>
      </c>
      <c r="Q29">
        <v>96</v>
      </c>
      <c r="R29">
        <v>104</v>
      </c>
      <c r="S29">
        <v>0.52</v>
      </c>
    </row>
    <row r="30" spans="1:19" x14ac:dyDescent="0.3">
      <c r="A30" s="1" t="s">
        <v>153</v>
      </c>
      <c r="B30" s="7">
        <f>MONTH(Clean_Sales[[#This Row],[Order_Date]])</f>
        <v>5</v>
      </c>
      <c r="C30" s="6">
        <v>46169</v>
      </c>
      <c r="D30" s="1" t="s">
        <v>155</v>
      </c>
      <c r="E30" s="1" t="s">
        <v>124</v>
      </c>
      <c r="F30" s="1" t="s">
        <v>89</v>
      </c>
      <c r="G30" s="1" t="s">
        <v>90</v>
      </c>
      <c r="H30" s="1" t="s">
        <v>74</v>
      </c>
      <c r="I30">
        <v>2</v>
      </c>
      <c r="J30">
        <v>85</v>
      </c>
      <c r="K30">
        <v>48</v>
      </c>
      <c r="L30">
        <v>0</v>
      </c>
      <c r="M30" s="1" t="s">
        <v>46</v>
      </c>
      <c r="N30" s="1" t="s">
        <v>36</v>
      </c>
      <c r="O30">
        <v>48</v>
      </c>
      <c r="P30">
        <v>170</v>
      </c>
      <c r="Q30">
        <v>96</v>
      </c>
      <c r="R30">
        <v>74</v>
      </c>
      <c r="S30">
        <v>0.435294117647059</v>
      </c>
    </row>
    <row r="31" spans="1:19" x14ac:dyDescent="0.3">
      <c r="A31" s="1" t="s">
        <v>157</v>
      </c>
      <c r="B31" s="7">
        <f>MONTH(Clean_Sales[[#This Row],[Order_Date]])</f>
        <v>4</v>
      </c>
      <c r="C31" s="6">
        <v>46128</v>
      </c>
      <c r="D31" s="1" t="s">
        <v>159</v>
      </c>
      <c r="E31" s="1" t="s">
        <v>50</v>
      </c>
      <c r="F31" s="1" t="s">
        <v>29</v>
      </c>
      <c r="G31" s="1" t="s">
        <v>30</v>
      </c>
      <c r="H31" s="1" t="s">
        <v>31</v>
      </c>
      <c r="I31">
        <v>7</v>
      </c>
      <c r="J31">
        <v>280</v>
      </c>
      <c r="K31">
        <v>190</v>
      </c>
      <c r="L31">
        <v>0</v>
      </c>
      <c r="M31" s="1" t="s">
        <v>23</v>
      </c>
      <c r="N31" s="1" t="s">
        <v>36</v>
      </c>
      <c r="O31">
        <v>190</v>
      </c>
      <c r="P31">
        <v>1960</v>
      </c>
      <c r="Q31">
        <v>1330</v>
      </c>
      <c r="R31">
        <v>630</v>
      </c>
      <c r="S31">
        <v>0.32142857142857101</v>
      </c>
    </row>
    <row r="32" spans="1:19" x14ac:dyDescent="0.3">
      <c r="A32" s="1" t="s">
        <v>160</v>
      </c>
      <c r="B32" s="7">
        <f>MONTH(Clean_Sales[[#This Row],[Order_Date]])</f>
        <v>3</v>
      </c>
      <c r="C32" s="6">
        <v>46105</v>
      </c>
      <c r="D32" s="1" t="s">
        <v>162</v>
      </c>
      <c r="E32" s="1" t="s">
        <v>50</v>
      </c>
      <c r="F32" s="1" t="s">
        <v>17</v>
      </c>
      <c r="G32" s="1" t="s">
        <v>18</v>
      </c>
      <c r="H32" s="1" t="s">
        <v>74</v>
      </c>
      <c r="I32">
        <v>1</v>
      </c>
      <c r="J32">
        <v>25</v>
      </c>
      <c r="K32">
        <v>12</v>
      </c>
      <c r="L32">
        <v>0.1</v>
      </c>
      <c r="M32" s="1" t="s">
        <v>23</v>
      </c>
      <c r="N32" s="1" t="s">
        <v>36</v>
      </c>
      <c r="O32">
        <v>12</v>
      </c>
      <c r="P32">
        <v>22.5</v>
      </c>
      <c r="Q32">
        <v>12</v>
      </c>
      <c r="R32">
        <v>10.5</v>
      </c>
      <c r="S32">
        <v>0.46666666666666701</v>
      </c>
    </row>
    <row r="33" spans="1:19" x14ac:dyDescent="0.3">
      <c r="A33" s="1" t="s">
        <v>163</v>
      </c>
      <c r="B33" s="7">
        <f>MONTH(Clean_Sales[[#This Row],[Order_Date]])</f>
        <v>2</v>
      </c>
      <c r="C33" s="6">
        <v>46056</v>
      </c>
      <c r="D33" s="1" t="s">
        <v>63</v>
      </c>
      <c r="E33" s="1" t="s">
        <v>28</v>
      </c>
      <c r="F33" s="1" t="s">
        <v>106</v>
      </c>
      <c r="G33" s="1" t="s">
        <v>107</v>
      </c>
      <c r="H33" s="1" t="s">
        <v>31</v>
      </c>
      <c r="I33">
        <v>2</v>
      </c>
      <c r="J33">
        <v>190</v>
      </c>
      <c r="K33">
        <v>115</v>
      </c>
      <c r="L33">
        <v>0</v>
      </c>
      <c r="M33" s="1" t="s">
        <v>23</v>
      </c>
      <c r="N33" s="1" t="s">
        <v>36</v>
      </c>
      <c r="O33">
        <v>115</v>
      </c>
      <c r="P33">
        <v>380</v>
      </c>
      <c r="Q33">
        <v>230</v>
      </c>
      <c r="R33">
        <v>150</v>
      </c>
      <c r="S33">
        <v>0.394736842105263</v>
      </c>
    </row>
    <row r="34" spans="1:19" x14ac:dyDescent="0.3">
      <c r="A34" s="1" t="s">
        <v>164</v>
      </c>
      <c r="B34" s="7">
        <f>MONTH(Clean_Sales[[#This Row],[Order_Date]])</f>
        <v>4</v>
      </c>
      <c r="C34" s="6">
        <v>46136</v>
      </c>
      <c r="D34" s="1" t="s">
        <v>166</v>
      </c>
      <c r="E34" s="1" t="s">
        <v>28</v>
      </c>
      <c r="F34" s="1" t="s">
        <v>106</v>
      </c>
      <c r="G34" s="1" t="s">
        <v>107</v>
      </c>
      <c r="H34" s="1" t="s">
        <v>31</v>
      </c>
      <c r="I34">
        <v>1</v>
      </c>
      <c r="J34">
        <v>190</v>
      </c>
      <c r="K34">
        <v>115</v>
      </c>
      <c r="L34">
        <v>0</v>
      </c>
      <c r="M34" s="1" t="s">
        <v>23</v>
      </c>
      <c r="N34" s="1" t="s">
        <v>36</v>
      </c>
      <c r="O34">
        <v>115</v>
      </c>
      <c r="P34">
        <v>190</v>
      </c>
      <c r="Q34">
        <v>115</v>
      </c>
      <c r="R34">
        <v>75</v>
      </c>
      <c r="S34">
        <v>0.394736842105263</v>
      </c>
    </row>
    <row r="35" spans="1:19" x14ac:dyDescent="0.3">
      <c r="A35" s="1" t="s">
        <v>167</v>
      </c>
      <c r="B35" s="7">
        <f>MONTH(Clean_Sales[[#This Row],[Order_Date]])</f>
        <v>3</v>
      </c>
      <c r="C35" s="6">
        <v>46112</v>
      </c>
      <c r="D35" s="1" t="s">
        <v>169</v>
      </c>
      <c r="E35" s="1" t="s">
        <v>124</v>
      </c>
      <c r="F35" s="1" t="s">
        <v>51</v>
      </c>
      <c r="G35" s="1" t="s">
        <v>52</v>
      </c>
      <c r="H35" s="1" t="s">
        <v>42</v>
      </c>
      <c r="I35">
        <v>4</v>
      </c>
      <c r="J35">
        <v>310</v>
      </c>
      <c r="K35">
        <v>220</v>
      </c>
      <c r="L35">
        <v>0.1</v>
      </c>
      <c r="M35" s="1" t="s">
        <v>46</v>
      </c>
      <c r="N35" s="1" t="s">
        <v>36</v>
      </c>
      <c r="O35">
        <v>220</v>
      </c>
      <c r="P35">
        <v>1116</v>
      </c>
      <c r="Q35">
        <v>880</v>
      </c>
      <c r="R35">
        <v>236</v>
      </c>
      <c r="S35">
        <v>0.21146953405017899</v>
      </c>
    </row>
    <row r="36" spans="1:19" x14ac:dyDescent="0.3">
      <c r="A36" s="1" t="s">
        <v>173</v>
      </c>
      <c r="B36" s="7">
        <f>MONTH(Clean_Sales[[#This Row],[Order_Date]])</f>
        <v>2</v>
      </c>
      <c r="C36" s="6">
        <v>46067</v>
      </c>
      <c r="D36" s="1" t="s">
        <v>175</v>
      </c>
      <c r="E36" s="1" t="s">
        <v>50</v>
      </c>
      <c r="F36" s="1" t="s">
        <v>106</v>
      </c>
      <c r="G36" s="1" t="s">
        <v>107</v>
      </c>
      <c r="H36" s="1" t="s">
        <v>31</v>
      </c>
      <c r="I36">
        <v>5</v>
      </c>
      <c r="J36">
        <v>190</v>
      </c>
      <c r="K36">
        <v>115</v>
      </c>
      <c r="L36">
        <v>0.15</v>
      </c>
      <c r="M36" s="1" t="s">
        <v>46</v>
      </c>
      <c r="N36" s="1" t="s">
        <v>36</v>
      </c>
      <c r="O36">
        <v>115</v>
      </c>
      <c r="P36">
        <v>807.5</v>
      </c>
      <c r="Q36">
        <v>575</v>
      </c>
      <c r="R36">
        <v>232.5</v>
      </c>
      <c r="S36">
        <v>0.28792569659442702</v>
      </c>
    </row>
    <row r="37" spans="1:19" x14ac:dyDescent="0.3">
      <c r="A37" s="1" t="s">
        <v>176</v>
      </c>
      <c r="B37" s="7">
        <f>MONTH(Clean_Sales[[#This Row],[Order_Date]])</f>
        <v>1</v>
      </c>
      <c r="C37" s="6">
        <v>46038</v>
      </c>
      <c r="D37" s="1" t="s">
        <v>105</v>
      </c>
      <c r="E37" s="1" t="s">
        <v>59</v>
      </c>
      <c r="F37" s="1" t="s">
        <v>17</v>
      </c>
      <c r="G37" s="1" t="s">
        <v>18</v>
      </c>
      <c r="H37" s="1" t="s">
        <v>74</v>
      </c>
      <c r="I37">
        <v>8</v>
      </c>
      <c r="J37">
        <v>25</v>
      </c>
      <c r="K37">
        <v>12</v>
      </c>
      <c r="L37">
        <v>0.05</v>
      </c>
      <c r="M37" s="1" t="s">
        <v>46</v>
      </c>
      <c r="N37" s="1" t="s">
        <v>36</v>
      </c>
      <c r="O37">
        <v>12</v>
      </c>
      <c r="P37">
        <v>190</v>
      </c>
      <c r="Q37">
        <v>96</v>
      </c>
      <c r="R37">
        <v>94</v>
      </c>
      <c r="S37">
        <v>0.49473684210526298</v>
      </c>
    </row>
    <row r="38" spans="1:19" x14ac:dyDescent="0.3">
      <c r="A38" s="1" t="s">
        <v>178</v>
      </c>
      <c r="B38" s="7">
        <f>MONTH(Clean_Sales[[#This Row],[Order_Date]])</f>
        <v>1</v>
      </c>
      <c r="C38" s="6">
        <v>46045</v>
      </c>
      <c r="D38" s="1" t="s">
        <v>88</v>
      </c>
      <c r="E38" s="1" t="s">
        <v>28</v>
      </c>
      <c r="F38" s="1" t="s">
        <v>64</v>
      </c>
      <c r="G38" s="1" t="s">
        <v>65</v>
      </c>
      <c r="H38" s="1" t="s">
        <v>42</v>
      </c>
      <c r="I38">
        <v>7</v>
      </c>
      <c r="J38">
        <v>360</v>
      </c>
      <c r="K38">
        <v>250</v>
      </c>
      <c r="L38">
        <v>0.1</v>
      </c>
      <c r="M38" s="1" t="s">
        <v>46</v>
      </c>
      <c r="N38" s="1" t="s">
        <v>36</v>
      </c>
      <c r="O38">
        <v>250</v>
      </c>
      <c r="P38">
        <v>2268</v>
      </c>
      <c r="Q38">
        <v>1750</v>
      </c>
      <c r="R38">
        <v>518</v>
      </c>
      <c r="S38">
        <v>0.22839506172839499</v>
      </c>
    </row>
    <row r="39" spans="1:19" x14ac:dyDescent="0.3">
      <c r="A39" s="1" t="s">
        <v>180</v>
      </c>
      <c r="B39" s="7">
        <f>MONTH(Clean_Sales[[#This Row],[Order_Date]])</f>
        <v>2</v>
      </c>
      <c r="C39" s="6">
        <v>46070</v>
      </c>
      <c r="D39" s="1" t="s">
        <v>182</v>
      </c>
      <c r="E39" s="1" t="s">
        <v>50</v>
      </c>
      <c r="F39" s="1" t="s">
        <v>106</v>
      </c>
      <c r="G39" s="1" t="s">
        <v>107</v>
      </c>
      <c r="H39" s="1" t="s">
        <v>31</v>
      </c>
      <c r="I39">
        <v>4</v>
      </c>
      <c r="J39">
        <v>190</v>
      </c>
      <c r="K39">
        <v>115</v>
      </c>
      <c r="L39">
        <v>0.05</v>
      </c>
      <c r="M39" s="1" t="s">
        <v>23</v>
      </c>
      <c r="N39" s="1" t="s">
        <v>36</v>
      </c>
      <c r="O39">
        <v>115</v>
      </c>
      <c r="P39">
        <v>722</v>
      </c>
      <c r="Q39">
        <v>460</v>
      </c>
      <c r="R39">
        <v>262</v>
      </c>
      <c r="S39">
        <v>0.362880886426593</v>
      </c>
    </row>
    <row r="40" spans="1:19" x14ac:dyDescent="0.3">
      <c r="A40" s="1" t="s">
        <v>183</v>
      </c>
      <c r="B40" s="7">
        <f>MONTH(Clean_Sales[[#This Row],[Order_Date]])</f>
        <v>6</v>
      </c>
      <c r="C40" s="6">
        <v>46175</v>
      </c>
      <c r="D40" s="1" t="s">
        <v>185</v>
      </c>
      <c r="E40" s="1" t="s">
        <v>28</v>
      </c>
      <c r="F40" s="1" t="s">
        <v>51</v>
      </c>
      <c r="G40" s="1" t="s">
        <v>52</v>
      </c>
      <c r="H40" s="1" t="s">
        <v>42</v>
      </c>
      <c r="I40">
        <v>8</v>
      </c>
      <c r="J40">
        <v>310</v>
      </c>
      <c r="K40">
        <v>220</v>
      </c>
      <c r="L40">
        <v>0.1</v>
      </c>
      <c r="M40" s="1" t="s">
        <v>23</v>
      </c>
      <c r="N40" s="1" t="s">
        <v>36</v>
      </c>
      <c r="O40">
        <v>220</v>
      </c>
      <c r="P40">
        <v>2232</v>
      </c>
      <c r="Q40">
        <v>1760</v>
      </c>
      <c r="R40">
        <v>472</v>
      </c>
      <c r="S40">
        <v>0.21146953405017899</v>
      </c>
    </row>
    <row r="41" spans="1:19" x14ac:dyDescent="0.3">
      <c r="A41" s="1" t="s">
        <v>186</v>
      </c>
      <c r="B41" s="7">
        <f>MONTH(Clean_Sales[[#This Row],[Order_Date]])</f>
        <v>6</v>
      </c>
      <c r="C41" s="6">
        <v>46180</v>
      </c>
      <c r="D41" s="1" t="s">
        <v>111</v>
      </c>
      <c r="E41" s="1" t="s">
        <v>50</v>
      </c>
      <c r="F41" s="1" t="s">
        <v>64</v>
      </c>
      <c r="G41" s="1" t="s">
        <v>65</v>
      </c>
      <c r="H41" s="1" t="s">
        <v>42</v>
      </c>
      <c r="I41">
        <v>3</v>
      </c>
      <c r="J41">
        <v>360</v>
      </c>
      <c r="K41">
        <v>250</v>
      </c>
      <c r="L41">
        <v>0.15</v>
      </c>
      <c r="M41" s="1" t="s">
        <v>23</v>
      </c>
      <c r="N41" s="1" t="s">
        <v>36</v>
      </c>
      <c r="O41">
        <v>250</v>
      </c>
      <c r="P41">
        <v>918</v>
      </c>
      <c r="Q41">
        <v>750</v>
      </c>
      <c r="R41">
        <v>168</v>
      </c>
      <c r="S41">
        <v>0.18300653594771199</v>
      </c>
    </row>
    <row r="42" spans="1:19" x14ac:dyDescent="0.3">
      <c r="A42" s="1" t="s">
        <v>189</v>
      </c>
      <c r="B42" s="7">
        <f>MONTH(Clean_Sales[[#This Row],[Order_Date]])</f>
        <v>2</v>
      </c>
      <c r="C42" s="6">
        <v>46055</v>
      </c>
      <c r="D42" s="1" t="s">
        <v>191</v>
      </c>
      <c r="E42" s="1" t="s">
        <v>28</v>
      </c>
      <c r="F42" s="1" t="s">
        <v>64</v>
      </c>
      <c r="G42" s="1" t="s">
        <v>65</v>
      </c>
      <c r="H42" s="1" t="s">
        <v>42</v>
      </c>
      <c r="I42">
        <v>4</v>
      </c>
      <c r="J42">
        <v>360</v>
      </c>
      <c r="K42">
        <v>250</v>
      </c>
      <c r="L42">
        <v>0.15</v>
      </c>
      <c r="M42" s="1" t="s">
        <v>23</v>
      </c>
      <c r="N42" s="1" t="s">
        <v>36</v>
      </c>
      <c r="O42">
        <v>250</v>
      </c>
      <c r="P42">
        <v>1224</v>
      </c>
      <c r="Q42">
        <v>1000</v>
      </c>
      <c r="R42">
        <v>224</v>
      </c>
      <c r="S42">
        <v>0.18300653594771199</v>
      </c>
    </row>
    <row r="43" spans="1:19" x14ac:dyDescent="0.3">
      <c r="A43" s="1" t="s">
        <v>192</v>
      </c>
      <c r="B43" s="7">
        <f>MONTH(Clean_Sales[[#This Row],[Order_Date]])</f>
        <v>5</v>
      </c>
      <c r="C43" s="6">
        <v>46159</v>
      </c>
      <c r="D43" s="1" t="s">
        <v>194</v>
      </c>
      <c r="E43" s="1" t="s">
        <v>59</v>
      </c>
      <c r="F43" s="1" t="s">
        <v>51</v>
      </c>
      <c r="G43" s="1" t="s">
        <v>52</v>
      </c>
      <c r="H43" s="1" t="s">
        <v>42</v>
      </c>
      <c r="I43">
        <v>8</v>
      </c>
      <c r="J43">
        <v>310</v>
      </c>
      <c r="K43">
        <v>220</v>
      </c>
      <c r="L43">
        <v>0</v>
      </c>
      <c r="M43" s="1" t="s">
        <v>46</v>
      </c>
      <c r="N43" s="1" t="s">
        <v>36</v>
      </c>
      <c r="O43">
        <v>220</v>
      </c>
      <c r="P43">
        <v>2480</v>
      </c>
      <c r="Q43">
        <v>1760</v>
      </c>
      <c r="R43">
        <v>720</v>
      </c>
      <c r="S43">
        <v>0.29032258064516098</v>
      </c>
    </row>
    <row r="44" spans="1:19" x14ac:dyDescent="0.3">
      <c r="A44" s="1" t="s">
        <v>195</v>
      </c>
      <c r="B44" s="7">
        <f>MONTH(Clean_Sales[[#This Row],[Order_Date]])</f>
        <v>1</v>
      </c>
      <c r="C44" s="6">
        <v>46033</v>
      </c>
      <c r="D44" s="1" t="s">
        <v>197</v>
      </c>
      <c r="E44" s="1" t="s">
        <v>50</v>
      </c>
      <c r="F44" s="1" t="s">
        <v>89</v>
      </c>
      <c r="G44" s="1" t="s">
        <v>90</v>
      </c>
      <c r="H44" s="1" t="s">
        <v>74</v>
      </c>
      <c r="I44">
        <v>7</v>
      </c>
      <c r="J44">
        <v>85</v>
      </c>
      <c r="K44">
        <v>48</v>
      </c>
      <c r="L44">
        <v>0.05</v>
      </c>
      <c r="M44" s="1" t="s">
        <v>23</v>
      </c>
      <c r="N44" s="1" t="s">
        <v>36</v>
      </c>
      <c r="O44">
        <v>48</v>
      </c>
      <c r="P44">
        <v>565.25</v>
      </c>
      <c r="Q44">
        <v>336</v>
      </c>
      <c r="R44">
        <v>229.25</v>
      </c>
      <c r="S44">
        <v>0.40557275541795701</v>
      </c>
    </row>
    <row r="45" spans="1:19" x14ac:dyDescent="0.3">
      <c r="A45" s="1" t="s">
        <v>198</v>
      </c>
      <c r="B45" s="7">
        <f>MONTH(Clean_Sales[[#This Row],[Order_Date]])</f>
        <v>3</v>
      </c>
      <c r="C45" s="6">
        <v>46101</v>
      </c>
      <c r="D45" s="1" t="s">
        <v>194</v>
      </c>
      <c r="E45" s="1" t="s">
        <v>28</v>
      </c>
      <c r="F45" s="1" t="s">
        <v>106</v>
      </c>
      <c r="G45" s="1" t="s">
        <v>107</v>
      </c>
      <c r="H45" s="1" t="s">
        <v>31</v>
      </c>
      <c r="I45">
        <v>3</v>
      </c>
      <c r="J45">
        <v>190</v>
      </c>
      <c r="K45">
        <v>115</v>
      </c>
      <c r="L45">
        <v>0.05</v>
      </c>
      <c r="M45" s="1" t="s">
        <v>46</v>
      </c>
      <c r="N45" s="1" t="s">
        <v>36</v>
      </c>
      <c r="O45">
        <v>115</v>
      </c>
      <c r="P45">
        <v>541.5</v>
      </c>
      <c r="Q45">
        <v>345</v>
      </c>
      <c r="R45">
        <v>196.5</v>
      </c>
      <c r="S45">
        <v>0.362880886426593</v>
      </c>
    </row>
    <row r="46" spans="1:19" x14ac:dyDescent="0.3">
      <c r="A46" s="1" t="s">
        <v>200</v>
      </c>
      <c r="B46" s="7">
        <f>MONTH(Clean_Sales[[#This Row],[Order_Date]])</f>
        <v>4</v>
      </c>
      <c r="C46" s="6">
        <v>46132</v>
      </c>
      <c r="D46" s="1" t="s">
        <v>202</v>
      </c>
      <c r="E46" s="1" t="s">
        <v>50</v>
      </c>
      <c r="F46" s="1" t="s">
        <v>17</v>
      </c>
      <c r="G46" s="1" t="s">
        <v>18</v>
      </c>
      <c r="H46" s="1" t="s">
        <v>74</v>
      </c>
      <c r="I46">
        <v>1</v>
      </c>
      <c r="J46">
        <v>25</v>
      </c>
      <c r="K46">
        <v>12</v>
      </c>
      <c r="L46">
        <v>0</v>
      </c>
      <c r="M46" s="1" t="s">
        <v>23</v>
      </c>
      <c r="N46" s="1" t="s">
        <v>36</v>
      </c>
      <c r="O46">
        <v>12</v>
      </c>
      <c r="P46">
        <v>25</v>
      </c>
      <c r="Q46">
        <v>12</v>
      </c>
      <c r="R46">
        <v>13</v>
      </c>
      <c r="S46">
        <v>0.52</v>
      </c>
    </row>
    <row r="47" spans="1:19" x14ac:dyDescent="0.3">
      <c r="A47" s="1" t="s">
        <v>203</v>
      </c>
      <c r="B47" s="7">
        <f>MONTH(Clean_Sales[[#This Row],[Order_Date]])</f>
        <v>1</v>
      </c>
      <c r="C47" s="6">
        <v>46053</v>
      </c>
      <c r="D47" s="1" t="s">
        <v>205</v>
      </c>
      <c r="E47" s="1" t="s">
        <v>124</v>
      </c>
      <c r="F47" s="1" t="s">
        <v>17</v>
      </c>
      <c r="G47" s="1" t="s">
        <v>18</v>
      </c>
      <c r="H47" s="1" t="s">
        <v>74</v>
      </c>
      <c r="I47">
        <v>6</v>
      </c>
      <c r="J47">
        <v>25</v>
      </c>
      <c r="K47">
        <v>12</v>
      </c>
      <c r="L47">
        <v>0.05</v>
      </c>
      <c r="M47" s="1" t="s">
        <v>46</v>
      </c>
      <c r="N47" s="1" t="s">
        <v>36</v>
      </c>
      <c r="O47">
        <v>12</v>
      </c>
      <c r="P47">
        <v>142.5</v>
      </c>
      <c r="Q47">
        <v>72</v>
      </c>
      <c r="R47">
        <v>70.5</v>
      </c>
      <c r="S47">
        <v>0.49473684210526298</v>
      </c>
    </row>
    <row r="48" spans="1:19" x14ac:dyDescent="0.3">
      <c r="A48" s="1" t="s">
        <v>207</v>
      </c>
      <c r="B48" s="7">
        <f>MONTH(Clean_Sales[[#This Row],[Order_Date]])</f>
        <v>2</v>
      </c>
      <c r="C48" s="6">
        <v>46062</v>
      </c>
      <c r="D48" s="1" t="s">
        <v>105</v>
      </c>
      <c r="E48" s="1" t="s">
        <v>50</v>
      </c>
      <c r="F48" s="1" t="s">
        <v>40</v>
      </c>
      <c r="G48" s="1" t="s">
        <v>41</v>
      </c>
      <c r="H48" s="1" t="s">
        <v>42</v>
      </c>
      <c r="I48">
        <v>8</v>
      </c>
      <c r="J48">
        <v>1250</v>
      </c>
      <c r="K48">
        <v>940</v>
      </c>
      <c r="L48">
        <v>0.15</v>
      </c>
      <c r="M48" s="1" t="s">
        <v>23</v>
      </c>
      <c r="N48" s="1" t="s">
        <v>36</v>
      </c>
      <c r="O48">
        <v>940</v>
      </c>
      <c r="P48">
        <v>8500</v>
      </c>
      <c r="Q48">
        <v>7520</v>
      </c>
      <c r="R48">
        <v>980</v>
      </c>
      <c r="S48">
        <v>0.11529411764705901</v>
      </c>
    </row>
    <row r="49" spans="1:19" x14ac:dyDescent="0.3">
      <c r="A49" s="1" t="s">
        <v>208</v>
      </c>
      <c r="B49" s="7">
        <f>MONTH(Clean_Sales[[#This Row],[Order_Date]])</f>
        <v>1</v>
      </c>
      <c r="C49" s="6">
        <v>46023</v>
      </c>
      <c r="D49" s="1" t="s">
        <v>88</v>
      </c>
      <c r="E49" s="1" t="s">
        <v>124</v>
      </c>
      <c r="F49" s="1" t="s">
        <v>72</v>
      </c>
      <c r="G49" s="1" t="s">
        <v>73</v>
      </c>
      <c r="H49" s="1" t="s">
        <v>74</v>
      </c>
      <c r="I49">
        <v>6</v>
      </c>
      <c r="J49">
        <v>65</v>
      </c>
      <c r="K49">
        <v>35</v>
      </c>
      <c r="L49">
        <v>0</v>
      </c>
      <c r="M49" s="1" t="s">
        <v>46</v>
      </c>
      <c r="N49" s="1" t="s">
        <v>36</v>
      </c>
      <c r="O49">
        <v>35</v>
      </c>
      <c r="P49">
        <v>390</v>
      </c>
      <c r="Q49">
        <v>210</v>
      </c>
      <c r="R49">
        <v>180</v>
      </c>
      <c r="S49">
        <v>0.46153846153846201</v>
      </c>
    </row>
    <row r="50" spans="1:19" x14ac:dyDescent="0.3">
      <c r="A50" s="1" t="s">
        <v>210</v>
      </c>
      <c r="B50" s="7">
        <f>MONTH(Clean_Sales[[#This Row],[Order_Date]])</f>
        <v>4</v>
      </c>
      <c r="C50" s="6">
        <v>46136</v>
      </c>
      <c r="D50" s="1" t="s">
        <v>211</v>
      </c>
      <c r="E50" s="1" t="s">
        <v>50</v>
      </c>
      <c r="F50" s="1" t="s">
        <v>89</v>
      </c>
      <c r="G50" s="1" t="s">
        <v>90</v>
      </c>
      <c r="H50" s="1" t="s">
        <v>74</v>
      </c>
      <c r="I50">
        <v>3</v>
      </c>
      <c r="J50">
        <v>85</v>
      </c>
      <c r="K50">
        <v>48</v>
      </c>
      <c r="L50">
        <v>0</v>
      </c>
      <c r="M50" s="1" t="s">
        <v>46</v>
      </c>
      <c r="N50" s="1" t="s">
        <v>36</v>
      </c>
      <c r="O50">
        <v>48</v>
      </c>
      <c r="P50">
        <v>255</v>
      </c>
      <c r="Q50">
        <v>144</v>
      </c>
      <c r="R50">
        <v>111</v>
      </c>
      <c r="S50">
        <v>0.435294117647059</v>
      </c>
    </row>
    <row r="51" spans="1:19" x14ac:dyDescent="0.3">
      <c r="A51" s="1" t="s">
        <v>212</v>
      </c>
      <c r="B51" s="7">
        <f>MONTH(Clean_Sales[[#This Row],[Order_Date]])</f>
        <v>6</v>
      </c>
      <c r="C51" s="6">
        <v>46177</v>
      </c>
      <c r="D51" s="1" t="s">
        <v>213</v>
      </c>
      <c r="E51" s="1" t="s">
        <v>59</v>
      </c>
      <c r="F51" s="1" t="s">
        <v>17</v>
      </c>
      <c r="G51" s="1" t="s">
        <v>18</v>
      </c>
      <c r="H51" s="1" t="s">
        <v>74</v>
      </c>
      <c r="I51">
        <v>4</v>
      </c>
      <c r="J51">
        <v>25</v>
      </c>
      <c r="K51">
        <v>12</v>
      </c>
      <c r="L51">
        <v>0</v>
      </c>
      <c r="M51" s="1" t="s">
        <v>23</v>
      </c>
      <c r="N51" s="1" t="s">
        <v>36</v>
      </c>
      <c r="O51">
        <v>12</v>
      </c>
      <c r="P51">
        <v>100</v>
      </c>
      <c r="Q51">
        <v>48</v>
      </c>
      <c r="R51">
        <v>52</v>
      </c>
      <c r="S51">
        <v>0.52</v>
      </c>
    </row>
    <row r="52" spans="1:19" x14ac:dyDescent="0.3">
      <c r="A52" s="1" t="s">
        <v>214</v>
      </c>
      <c r="B52" s="7">
        <f>MONTH(Clean_Sales[[#This Row],[Order_Date]])</f>
        <v>6</v>
      </c>
      <c r="C52" s="6">
        <v>46193</v>
      </c>
      <c r="D52" s="1" t="s">
        <v>216</v>
      </c>
      <c r="E52" s="1" t="s">
        <v>28</v>
      </c>
      <c r="F52" s="1" t="s">
        <v>40</v>
      </c>
      <c r="G52" s="1" t="s">
        <v>41</v>
      </c>
      <c r="H52" s="1" t="s">
        <v>42</v>
      </c>
      <c r="I52">
        <v>1</v>
      </c>
      <c r="J52">
        <v>1250</v>
      </c>
      <c r="K52">
        <v>940</v>
      </c>
      <c r="L52">
        <v>0.15</v>
      </c>
      <c r="M52" s="1" t="s">
        <v>46</v>
      </c>
      <c r="N52" s="1" t="s">
        <v>36</v>
      </c>
      <c r="O52">
        <v>940</v>
      </c>
      <c r="P52">
        <v>1062.5</v>
      </c>
      <c r="Q52">
        <v>940</v>
      </c>
      <c r="R52">
        <v>122.5</v>
      </c>
      <c r="S52">
        <v>0.11529411764705901</v>
      </c>
    </row>
    <row r="53" spans="1:19" x14ac:dyDescent="0.3">
      <c r="A53" s="1" t="s">
        <v>217</v>
      </c>
      <c r="B53" s="7">
        <f>MONTH(Clean_Sales[[#This Row],[Order_Date]])</f>
        <v>4</v>
      </c>
      <c r="C53" s="6">
        <v>46123</v>
      </c>
      <c r="D53" s="1" t="s">
        <v>175</v>
      </c>
      <c r="E53" s="1" t="s">
        <v>28</v>
      </c>
      <c r="F53" s="1" t="s">
        <v>89</v>
      </c>
      <c r="G53" s="1" t="s">
        <v>90</v>
      </c>
      <c r="H53" s="1" t="s">
        <v>74</v>
      </c>
      <c r="I53">
        <v>4</v>
      </c>
      <c r="J53">
        <v>85</v>
      </c>
      <c r="K53">
        <v>48</v>
      </c>
      <c r="L53">
        <v>0.1</v>
      </c>
      <c r="M53" s="1" t="s">
        <v>46</v>
      </c>
      <c r="N53" s="1" t="s">
        <v>36</v>
      </c>
      <c r="O53">
        <v>48</v>
      </c>
      <c r="P53">
        <v>306</v>
      </c>
      <c r="Q53">
        <v>192</v>
      </c>
      <c r="R53">
        <v>114</v>
      </c>
      <c r="S53">
        <v>0.37254901960784298</v>
      </c>
    </row>
    <row r="54" spans="1:19" x14ac:dyDescent="0.3">
      <c r="A54" s="1" t="s">
        <v>220</v>
      </c>
      <c r="B54" s="7">
        <f>MONTH(Clean_Sales[[#This Row],[Order_Date]])</f>
        <v>5</v>
      </c>
      <c r="C54" s="6">
        <v>46156</v>
      </c>
      <c r="D54" s="1" t="s">
        <v>222</v>
      </c>
      <c r="E54" s="1" t="s">
        <v>28</v>
      </c>
      <c r="F54" s="1" t="s">
        <v>72</v>
      </c>
      <c r="G54" s="1" t="s">
        <v>73</v>
      </c>
      <c r="H54" s="1" t="s">
        <v>74</v>
      </c>
      <c r="I54">
        <v>3</v>
      </c>
      <c r="J54">
        <v>65</v>
      </c>
      <c r="K54">
        <v>35</v>
      </c>
      <c r="L54">
        <v>0.1</v>
      </c>
      <c r="M54" s="1" t="s">
        <v>23</v>
      </c>
      <c r="N54" s="1" t="s">
        <v>36</v>
      </c>
      <c r="O54">
        <v>35</v>
      </c>
      <c r="P54">
        <v>175.5</v>
      </c>
      <c r="Q54">
        <v>105</v>
      </c>
      <c r="R54">
        <v>70.5</v>
      </c>
      <c r="S54">
        <v>0.401709401709402</v>
      </c>
    </row>
    <row r="55" spans="1:19" x14ac:dyDescent="0.3">
      <c r="A55" s="1" t="s">
        <v>223</v>
      </c>
      <c r="B55" s="7">
        <f>MONTH(Clean_Sales[[#This Row],[Order_Date]])</f>
        <v>6</v>
      </c>
      <c r="C55" s="6">
        <v>46191</v>
      </c>
      <c r="D55" s="1" t="s">
        <v>79</v>
      </c>
      <c r="E55" s="1" t="s">
        <v>50</v>
      </c>
      <c r="F55" s="1" t="s">
        <v>64</v>
      </c>
      <c r="G55" s="1" t="s">
        <v>65</v>
      </c>
      <c r="H55" s="1" t="s">
        <v>42</v>
      </c>
      <c r="I55">
        <v>1</v>
      </c>
      <c r="J55">
        <v>360</v>
      </c>
      <c r="K55">
        <v>250</v>
      </c>
      <c r="L55">
        <v>0.05</v>
      </c>
      <c r="M55" s="1" t="s">
        <v>46</v>
      </c>
      <c r="N55" s="1" t="s">
        <v>36</v>
      </c>
      <c r="O55">
        <v>250</v>
      </c>
      <c r="P55">
        <v>342</v>
      </c>
      <c r="Q55">
        <v>250</v>
      </c>
      <c r="R55">
        <v>92</v>
      </c>
      <c r="S55">
        <v>0.26900584795321603</v>
      </c>
    </row>
    <row r="56" spans="1:19" x14ac:dyDescent="0.3">
      <c r="A56" s="1" t="s">
        <v>225</v>
      </c>
      <c r="B56" s="7">
        <f>MONTH(Clean_Sales[[#This Row],[Order_Date]])</f>
        <v>1</v>
      </c>
      <c r="C56" s="6">
        <v>46040</v>
      </c>
      <c r="D56" s="1" t="s">
        <v>227</v>
      </c>
      <c r="E56" s="1" t="s">
        <v>50</v>
      </c>
      <c r="F56" s="1" t="s">
        <v>17</v>
      </c>
      <c r="G56" s="1" t="s">
        <v>18</v>
      </c>
      <c r="H56" s="1" t="s">
        <v>74</v>
      </c>
      <c r="I56">
        <v>3</v>
      </c>
      <c r="J56">
        <v>25</v>
      </c>
      <c r="K56">
        <v>12</v>
      </c>
      <c r="L56">
        <v>0.15</v>
      </c>
      <c r="M56" s="1" t="s">
        <v>23</v>
      </c>
      <c r="N56" s="1" t="s">
        <v>36</v>
      </c>
      <c r="O56">
        <v>12</v>
      </c>
      <c r="P56">
        <v>63.75</v>
      </c>
      <c r="Q56">
        <v>36</v>
      </c>
      <c r="R56">
        <v>27.75</v>
      </c>
      <c r="S56">
        <v>0.435294117647059</v>
      </c>
    </row>
    <row r="57" spans="1:19" x14ac:dyDescent="0.3">
      <c r="A57" s="1" t="s">
        <v>228</v>
      </c>
      <c r="B57" s="7">
        <f>MONTH(Clean_Sales[[#This Row],[Order_Date]])</f>
        <v>6</v>
      </c>
      <c r="C57" s="6">
        <v>46176</v>
      </c>
      <c r="D57" s="1" t="s">
        <v>155</v>
      </c>
      <c r="E57" s="1" t="s">
        <v>50</v>
      </c>
      <c r="F57" s="1" t="s">
        <v>17</v>
      </c>
      <c r="G57" s="1" t="s">
        <v>18</v>
      </c>
      <c r="H57" s="1" t="s">
        <v>74</v>
      </c>
      <c r="I57">
        <v>6</v>
      </c>
      <c r="J57">
        <v>25</v>
      </c>
      <c r="K57">
        <v>12</v>
      </c>
      <c r="L57">
        <v>0</v>
      </c>
      <c r="M57" s="1" t="s">
        <v>46</v>
      </c>
      <c r="N57" s="1" t="s">
        <v>36</v>
      </c>
      <c r="O57">
        <v>12</v>
      </c>
      <c r="P57">
        <v>150</v>
      </c>
      <c r="Q57">
        <v>72</v>
      </c>
      <c r="R57">
        <v>78</v>
      </c>
      <c r="S57">
        <v>0.52</v>
      </c>
    </row>
    <row r="58" spans="1:19" x14ac:dyDescent="0.3">
      <c r="A58" s="1" t="s">
        <v>230</v>
      </c>
      <c r="B58" s="7">
        <f>MONTH(Clean_Sales[[#This Row],[Order_Date]])</f>
        <v>5</v>
      </c>
      <c r="C58" s="6">
        <v>46147</v>
      </c>
      <c r="D58" s="1" t="s">
        <v>232</v>
      </c>
      <c r="E58" s="1" t="s">
        <v>59</v>
      </c>
      <c r="F58" s="1" t="s">
        <v>17</v>
      </c>
      <c r="G58" s="1" t="s">
        <v>18</v>
      </c>
      <c r="H58" s="1" t="s">
        <v>74</v>
      </c>
      <c r="I58">
        <v>4</v>
      </c>
      <c r="J58">
        <v>25</v>
      </c>
      <c r="K58">
        <v>12</v>
      </c>
      <c r="L58">
        <v>0.1</v>
      </c>
      <c r="M58" s="1" t="s">
        <v>23</v>
      </c>
      <c r="N58" s="1" t="s">
        <v>36</v>
      </c>
      <c r="O58">
        <v>12</v>
      </c>
      <c r="P58">
        <v>90</v>
      </c>
      <c r="Q58">
        <v>48</v>
      </c>
      <c r="R58">
        <v>42</v>
      </c>
      <c r="S58">
        <v>0.46666666666666701</v>
      </c>
    </row>
    <row r="59" spans="1:19" x14ac:dyDescent="0.3">
      <c r="A59" s="1" t="s">
        <v>234</v>
      </c>
      <c r="B59" s="7">
        <f>MONTH(Clean_Sales[[#This Row],[Order_Date]])</f>
        <v>2</v>
      </c>
      <c r="C59" s="6">
        <v>46073</v>
      </c>
      <c r="D59" s="1" t="s">
        <v>235</v>
      </c>
      <c r="E59" s="1" t="s">
        <v>28</v>
      </c>
      <c r="F59" s="1" t="s">
        <v>40</v>
      </c>
      <c r="G59" s="1" t="s">
        <v>41</v>
      </c>
      <c r="H59" s="1" t="s">
        <v>42</v>
      </c>
      <c r="I59">
        <v>4</v>
      </c>
      <c r="J59">
        <v>1250</v>
      </c>
      <c r="K59">
        <v>940</v>
      </c>
      <c r="L59">
        <v>0.15</v>
      </c>
      <c r="M59" s="1" t="s">
        <v>23</v>
      </c>
      <c r="N59" s="1" t="s">
        <v>36</v>
      </c>
      <c r="O59">
        <v>940</v>
      </c>
      <c r="P59">
        <v>4250</v>
      </c>
      <c r="Q59">
        <v>3760</v>
      </c>
      <c r="R59">
        <v>490</v>
      </c>
      <c r="S59">
        <v>0.11529411764705901</v>
      </c>
    </row>
    <row r="60" spans="1:19" x14ac:dyDescent="0.3">
      <c r="A60" s="1" t="s">
        <v>236</v>
      </c>
      <c r="B60" s="7">
        <f>MONTH(Clean_Sales[[#This Row],[Order_Date]])</f>
        <v>5</v>
      </c>
      <c r="C60" s="6">
        <v>46170</v>
      </c>
      <c r="D60" s="1" t="s">
        <v>238</v>
      </c>
      <c r="E60" s="1" t="s">
        <v>28</v>
      </c>
      <c r="F60" s="1" t="s">
        <v>72</v>
      </c>
      <c r="G60" s="1" t="s">
        <v>73</v>
      </c>
      <c r="H60" s="1" t="s">
        <v>74</v>
      </c>
      <c r="I60">
        <v>2</v>
      </c>
      <c r="J60">
        <v>65</v>
      </c>
      <c r="K60">
        <v>35</v>
      </c>
      <c r="L60">
        <v>0.05</v>
      </c>
      <c r="M60" s="1" t="s">
        <v>23</v>
      </c>
      <c r="N60" s="1" t="s">
        <v>36</v>
      </c>
      <c r="O60">
        <v>35</v>
      </c>
      <c r="P60">
        <v>123.5</v>
      </c>
      <c r="Q60">
        <v>70</v>
      </c>
      <c r="R60">
        <v>53.5</v>
      </c>
      <c r="S60">
        <v>0.43319838056680199</v>
      </c>
    </row>
    <row r="61" spans="1:19" x14ac:dyDescent="0.3">
      <c r="A61" s="1" t="s">
        <v>239</v>
      </c>
      <c r="B61" s="7">
        <f>MONTH(Clean_Sales[[#This Row],[Order_Date]])</f>
        <v>3</v>
      </c>
      <c r="C61" s="6">
        <v>46093</v>
      </c>
      <c r="D61" s="1" t="s">
        <v>197</v>
      </c>
      <c r="E61" s="1" t="s">
        <v>28</v>
      </c>
      <c r="F61" s="1" t="s">
        <v>17</v>
      </c>
      <c r="G61" s="1" t="s">
        <v>18</v>
      </c>
      <c r="H61" s="1" t="s">
        <v>74</v>
      </c>
      <c r="I61">
        <v>6</v>
      </c>
      <c r="J61">
        <v>25</v>
      </c>
      <c r="K61">
        <v>12</v>
      </c>
      <c r="L61">
        <v>0.1</v>
      </c>
      <c r="M61" s="1" t="s">
        <v>23</v>
      </c>
      <c r="N61" s="1" t="s">
        <v>36</v>
      </c>
      <c r="O61">
        <v>12</v>
      </c>
      <c r="P61">
        <v>135</v>
      </c>
      <c r="Q61">
        <v>72</v>
      </c>
      <c r="R61">
        <v>63</v>
      </c>
      <c r="S61">
        <v>0.46666666666666701</v>
      </c>
    </row>
    <row r="62" spans="1:19" x14ac:dyDescent="0.3">
      <c r="A62" s="1" t="s">
        <v>241</v>
      </c>
      <c r="B62" s="7">
        <f>MONTH(Clean_Sales[[#This Row],[Order_Date]])</f>
        <v>3</v>
      </c>
      <c r="C62" s="6">
        <v>46112</v>
      </c>
      <c r="D62" s="1" t="s">
        <v>148</v>
      </c>
      <c r="E62" s="1" t="s">
        <v>28</v>
      </c>
      <c r="F62" s="1" t="s">
        <v>51</v>
      </c>
      <c r="G62" s="1" t="s">
        <v>52</v>
      </c>
      <c r="H62" s="1" t="s">
        <v>42</v>
      </c>
      <c r="I62">
        <v>3</v>
      </c>
      <c r="J62">
        <v>310</v>
      </c>
      <c r="K62">
        <v>220</v>
      </c>
      <c r="L62">
        <v>0.15</v>
      </c>
      <c r="M62" s="1" t="s">
        <v>46</v>
      </c>
      <c r="N62" s="1" t="s">
        <v>36</v>
      </c>
      <c r="O62">
        <v>220</v>
      </c>
      <c r="P62">
        <v>790.5</v>
      </c>
      <c r="Q62">
        <v>660</v>
      </c>
      <c r="R62">
        <v>130.5</v>
      </c>
      <c r="S62">
        <v>0.165085388994307</v>
      </c>
    </row>
    <row r="63" spans="1:19" x14ac:dyDescent="0.3">
      <c r="A63" s="1" t="s">
        <v>242</v>
      </c>
      <c r="B63" s="7">
        <f>MONTH(Clean_Sales[[#This Row],[Order_Date]])</f>
        <v>4</v>
      </c>
      <c r="C63" s="6">
        <v>46123</v>
      </c>
      <c r="D63" s="1" t="s">
        <v>243</v>
      </c>
      <c r="E63" s="1" t="s">
        <v>28</v>
      </c>
      <c r="F63" s="1" t="s">
        <v>64</v>
      </c>
      <c r="G63" s="1" t="s">
        <v>65</v>
      </c>
      <c r="H63" s="1" t="s">
        <v>42</v>
      </c>
      <c r="I63">
        <v>3</v>
      </c>
      <c r="J63">
        <v>360</v>
      </c>
      <c r="K63">
        <v>250</v>
      </c>
      <c r="L63">
        <v>0.1</v>
      </c>
      <c r="M63" s="1" t="s">
        <v>23</v>
      </c>
      <c r="N63" s="1" t="s">
        <v>36</v>
      </c>
      <c r="O63">
        <v>250</v>
      </c>
      <c r="P63">
        <v>972</v>
      </c>
      <c r="Q63">
        <v>750</v>
      </c>
      <c r="R63">
        <v>222</v>
      </c>
      <c r="S63">
        <v>0.22839506172839499</v>
      </c>
    </row>
    <row r="64" spans="1:19" x14ac:dyDescent="0.3">
      <c r="A64" s="1" t="s">
        <v>244</v>
      </c>
      <c r="B64" s="7">
        <f>MONTH(Clean_Sales[[#This Row],[Order_Date]])</f>
        <v>4</v>
      </c>
      <c r="C64" s="6">
        <v>46113</v>
      </c>
      <c r="D64" s="1" t="s">
        <v>155</v>
      </c>
      <c r="E64" s="1" t="s">
        <v>124</v>
      </c>
      <c r="F64" s="1" t="s">
        <v>72</v>
      </c>
      <c r="G64" s="1" t="s">
        <v>73</v>
      </c>
      <c r="H64" s="1" t="s">
        <v>74</v>
      </c>
      <c r="I64">
        <v>2</v>
      </c>
      <c r="J64">
        <v>65</v>
      </c>
      <c r="K64">
        <v>35</v>
      </c>
      <c r="L64">
        <v>0.1</v>
      </c>
      <c r="M64" s="1" t="s">
        <v>23</v>
      </c>
      <c r="N64" s="1" t="s">
        <v>36</v>
      </c>
      <c r="O64">
        <v>35</v>
      </c>
      <c r="P64">
        <v>117</v>
      </c>
      <c r="Q64">
        <v>70</v>
      </c>
      <c r="R64">
        <v>47</v>
      </c>
      <c r="S64">
        <v>0.401709401709402</v>
      </c>
    </row>
    <row r="65" spans="1:19" x14ac:dyDescent="0.3">
      <c r="A65" s="1" t="s">
        <v>246</v>
      </c>
      <c r="B65" s="7">
        <f>MONTH(Clean_Sales[[#This Row],[Order_Date]])</f>
        <v>3</v>
      </c>
      <c r="C65" s="6">
        <v>46106</v>
      </c>
      <c r="D65" s="1" t="s">
        <v>248</v>
      </c>
      <c r="E65" s="1" t="s">
        <v>28</v>
      </c>
      <c r="F65" s="1" t="s">
        <v>40</v>
      </c>
      <c r="G65" s="1" t="s">
        <v>41</v>
      </c>
      <c r="H65" s="1" t="s">
        <v>42</v>
      </c>
      <c r="I65">
        <v>4</v>
      </c>
      <c r="J65">
        <v>1250</v>
      </c>
      <c r="K65">
        <v>940</v>
      </c>
      <c r="L65">
        <v>0.05</v>
      </c>
      <c r="M65" s="1" t="s">
        <v>23</v>
      </c>
      <c r="N65" s="1" t="s">
        <v>36</v>
      </c>
      <c r="O65">
        <v>940</v>
      </c>
      <c r="P65">
        <v>4750</v>
      </c>
      <c r="Q65">
        <v>3760</v>
      </c>
      <c r="R65">
        <v>990</v>
      </c>
      <c r="S65">
        <v>0.20842105263157901</v>
      </c>
    </row>
    <row r="66" spans="1:19" x14ac:dyDescent="0.3">
      <c r="A66" s="1" t="s">
        <v>249</v>
      </c>
      <c r="B66" s="7">
        <f>MONTH(Clean_Sales[[#This Row],[Order_Date]])</f>
        <v>3</v>
      </c>
      <c r="C66" s="6">
        <v>46103</v>
      </c>
      <c r="D66" s="1" t="s">
        <v>251</v>
      </c>
      <c r="E66" s="1" t="s">
        <v>59</v>
      </c>
      <c r="F66" s="1" t="s">
        <v>40</v>
      </c>
      <c r="G66" s="1" t="s">
        <v>41</v>
      </c>
      <c r="H66" s="1" t="s">
        <v>42</v>
      </c>
      <c r="I66">
        <v>4</v>
      </c>
      <c r="J66">
        <v>1250</v>
      </c>
      <c r="K66">
        <v>940</v>
      </c>
      <c r="L66">
        <v>0</v>
      </c>
      <c r="M66" s="1" t="s">
        <v>46</v>
      </c>
      <c r="N66" s="1" t="s">
        <v>36</v>
      </c>
      <c r="O66">
        <v>940</v>
      </c>
      <c r="P66">
        <v>5000</v>
      </c>
      <c r="Q66">
        <v>3760</v>
      </c>
      <c r="R66">
        <v>1240</v>
      </c>
      <c r="S66">
        <v>0.248</v>
      </c>
    </row>
    <row r="67" spans="1:19" x14ac:dyDescent="0.3">
      <c r="A67" s="1" t="s">
        <v>252</v>
      </c>
      <c r="B67" s="7">
        <f>MONTH(Clean_Sales[[#This Row],[Order_Date]])</f>
        <v>1</v>
      </c>
      <c r="C67" s="6">
        <v>46051</v>
      </c>
      <c r="D67" s="1" t="s">
        <v>254</v>
      </c>
      <c r="E67" s="1" t="s">
        <v>59</v>
      </c>
      <c r="F67" s="1" t="s">
        <v>40</v>
      </c>
      <c r="G67" s="1" t="s">
        <v>41</v>
      </c>
      <c r="H67" s="1" t="s">
        <v>42</v>
      </c>
      <c r="I67">
        <v>8</v>
      </c>
      <c r="J67">
        <v>1250</v>
      </c>
      <c r="K67">
        <v>940</v>
      </c>
      <c r="L67">
        <v>0.15</v>
      </c>
      <c r="M67" s="1" t="s">
        <v>46</v>
      </c>
      <c r="N67" s="1" t="s">
        <v>36</v>
      </c>
      <c r="O67">
        <v>940</v>
      </c>
      <c r="P67">
        <v>8500</v>
      </c>
      <c r="Q67">
        <v>7520</v>
      </c>
      <c r="R67">
        <v>980</v>
      </c>
      <c r="S67">
        <v>0.11529411764705901</v>
      </c>
    </row>
    <row r="68" spans="1:19" x14ac:dyDescent="0.3">
      <c r="A68" s="1" t="s">
        <v>255</v>
      </c>
      <c r="B68" s="7">
        <f>MONTH(Clean_Sales[[#This Row],[Order_Date]])</f>
        <v>5</v>
      </c>
      <c r="C68" s="6">
        <v>46172</v>
      </c>
      <c r="D68" s="1" t="s">
        <v>148</v>
      </c>
      <c r="E68" s="1" t="s">
        <v>28</v>
      </c>
      <c r="F68" s="1" t="s">
        <v>106</v>
      </c>
      <c r="G68" s="1" t="s">
        <v>107</v>
      </c>
      <c r="H68" s="1" t="s">
        <v>31</v>
      </c>
      <c r="I68">
        <v>1</v>
      </c>
      <c r="J68">
        <v>190</v>
      </c>
      <c r="K68">
        <v>115</v>
      </c>
      <c r="L68">
        <v>0.1</v>
      </c>
      <c r="M68" s="1" t="s">
        <v>46</v>
      </c>
      <c r="N68" s="1" t="s">
        <v>36</v>
      </c>
      <c r="O68">
        <v>115</v>
      </c>
      <c r="P68">
        <v>171</v>
      </c>
      <c r="Q68">
        <v>115</v>
      </c>
      <c r="R68">
        <v>56</v>
      </c>
      <c r="S68">
        <v>0.32748538011695899</v>
      </c>
    </row>
    <row r="69" spans="1:19" x14ac:dyDescent="0.3">
      <c r="A69" s="1" t="s">
        <v>256</v>
      </c>
      <c r="B69" s="7">
        <f>MONTH(Clean_Sales[[#This Row],[Order_Date]])</f>
        <v>1</v>
      </c>
      <c r="C69" s="6">
        <v>46043</v>
      </c>
      <c r="D69" s="1" t="s">
        <v>132</v>
      </c>
      <c r="E69" s="1" t="s">
        <v>50</v>
      </c>
      <c r="F69" s="1" t="s">
        <v>29</v>
      </c>
      <c r="G69" s="1" t="s">
        <v>30</v>
      </c>
      <c r="H69" s="1" t="s">
        <v>31</v>
      </c>
      <c r="I69">
        <v>5</v>
      </c>
      <c r="J69">
        <v>280</v>
      </c>
      <c r="K69">
        <v>190</v>
      </c>
      <c r="L69">
        <v>0.15</v>
      </c>
      <c r="M69" s="1" t="s">
        <v>23</v>
      </c>
      <c r="N69" s="1" t="s">
        <v>36</v>
      </c>
      <c r="O69">
        <v>190</v>
      </c>
      <c r="P69">
        <v>1190</v>
      </c>
      <c r="Q69">
        <v>950</v>
      </c>
      <c r="R69">
        <v>240</v>
      </c>
      <c r="S69">
        <v>0.20168067226890801</v>
      </c>
    </row>
    <row r="70" spans="1:19" x14ac:dyDescent="0.3">
      <c r="A70" s="1" t="s">
        <v>258</v>
      </c>
      <c r="B70" s="7">
        <f>MONTH(Clean_Sales[[#This Row],[Order_Date]])</f>
        <v>1</v>
      </c>
      <c r="C70" s="6">
        <v>46040</v>
      </c>
      <c r="D70" s="1" t="s">
        <v>243</v>
      </c>
      <c r="E70" s="1" t="s">
        <v>28</v>
      </c>
      <c r="F70" s="1" t="s">
        <v>40</v>
      </c>
      <c r="G70" s="1" t="s">
        <v>41</v>
      </c>
      <c r="H70" s="1" t="s">
        <v>42</v>
      </c>
      <c r="I70">
        <v>4</v>
      </c>
      <c r="J70">
        <v>1250</v>
      </c>
      <c r="K70">
        <v>940</v>
      </c>
      <c r="L70">
        <v>0</v>
      </c>
      <c r="M70" s="1" t="s">
        <v>46</v>
      </c>
      <c r="N70" s="1" t="s">
        <v>36</v>
      </c>
      <c r="O70">
        <v>940</v>
      </c>
      <c r="P70">
        <v>5000</v>
      </c>
      <c r="Q70">
        <v>3760</v>
      </c>
      <c r="R70">
        <v>1240</v>
      </c>
      <c r="S70">
        <v>0.248</v>
      </c>
    </row>
    <row r="71" spans="1:19" x14ac:dyDescent="0.3">
      <c r="A71" s="1" t="s">
        <v>259</v>
      </c>
      <c r="B71" s="7">
        <f>MONTH(Clean_Sales[[#This Row],[Order_Date]])</f>
        <v>2</v>
      </c>
      <c r="C71" s="6">
        <v>46073</v>
      </c>
      <c r="D71" s="1" t="s">
        <v>260</v>
      </c>
      <c r="E71" s="1" t="s">
        <v>982</v>
      </c>
      <c r="F71" s="1" t="s">
        <v>106</v>
      </c>
      <c r="G71" s="1" t="s">
        <v>107</v>
      </c>
      <c r="H71" s="1" t="s">
        <v>31</v>
      </c>
      <c r="I71">
        <v>4</v>
      </c>
      <c r="J71">
        <v>190</v>
      </c>
      <c r="K71">
        <v>115</v>
      </c>
      <c r="L71">
        <v>0.15</v>
      </c>
      <c r="M71" s="1" t="s">
        <v>46</v>
      </c>
      <c r="N71" s="1" t="s">
        <v>36</v>
      </c>
      <c r="O71">
        <v>115</v>
      </c>
      <c r="P71">
        <v>646</v>
      </c>
      <c r="Q71">
        <v>460</v>
      </c>
      <c r="R71">
        <v>186</v>
      </c>
      <c r="S71">
        <v>0.28792569659442702</v>
      </c>
    </row>
    <row r="72" spans="1:19" x14ac:dyDescent="0.3">
      <c r="A72" s="1" t="s">
        <v>261</v>
      </c>
      <c r="B72" s="7">
        <f>MONTH(Clean_Sales[[#This Row],[Order_Date]])</f>
        <v>5</v>
      </c>
      <c r="C72" s="6">
        <v>46153</v>
      </c>
      <c r="D72" s="1" t="s">
        <v>263</v>
      </c>
      <c r="E72" s="1" t="s">
        <v>124</v>
      </c>
      <c r="F72" s="1" t="s">
        <v>64</v>
      </c>
      <c r="G72" s="1" t="s">
        <v>65</v>
      </c>
      <c r="H72" s="1" t="s">
        <v>42</v>
      </c>
      <c r="I72">
        <v>2</v>
      </c>
      <c r="J72">
        <v>360</v>
      </c>
      <c r="K72">
        <v>250</v>
      </c>
      <c r="L72">
        <v>0.05</v>
      </c>
      <c r="M72" s="1" t="s">
        <v>46</v>
      </c>
      <c r="N72" s="1" t="s">
        <v>36</v>
      </c>
      <c r="O72">
        <v>250</v>
      </c>
      <c r="P72">
        <v>684</v>
      </c>
      <c r="Q72">
        <v>500</v>
      </c>
      <c r="R72">
        <v>184</v>
      </c>
      <c r="S72">
        <v>0.26900584795321603</v>
      </c>
    </row>
    <row r="73" spans="1:19" x14ac:dyDescent="0.3">
      <c r="A73" s="1" t="s">
        <v>264</v>
      </c>
      <c r="B73" s="7">
        <f>MONTH(Clean_Sales[[#This Row],[Order_Date]])</f>
        <v>1</v>
      </c>
      <c r="C73" s="6">
        <v>46052</v>
      </c>
      <c r="D73" s="1" t="s">
        <v>243</v>
      </c>
      <c r="E73" s="1" t="s">
        <v>124</v>
      </c>
      <c r="F73" s="1" t="s">
        <v>29</v>
      </c>
      <c r="G73" s="1" t="s">
        <v>30</v>
      </c>
      <c r="H73" s="1" t="s">
        <v>31</v>
      </c>
      <c r="I73">
        <v>2</v>
      </c>
      <c r="J73">
        <v>280</v>
      </c>
      <c r="K73">
        <v>190</v>
      </c>
      <c r="L73">
        <v>0.1</v>
      </c>
      <c r="M73" s="1" t="s">
        <v>23</v>
      </c>
      <c r="N73" s="1" t="s">
        <v>36</v>
      </c>
      <c r="O73">
        <v>190</v>
      </c>
      <c r="P73">
        <v>504</v>
      </c>
      <c r="Q73">
        <v>380</v>
      </c>
      <c r="R73">
        <v>124</v>
      </c>
      <c r="S73">
        <v>0.24603174603174599</v>
      </c>
    </row>
    <row r="74" spans="1:19" x14ac:dyDescent="0.3">
      <c r="A74" s="1" t="s">
        <v>266</v>
      </c>
      <c r="B74" s="7">
        <f>MONTH(Clean_Sales[[#This Row],[Order_Date]])</f>
        <v>2</v>
      </c>
      <c r="C74" s="6">
        <v>46069</v>
      </c>
      <c r="D74" s="1" t="s">
        <v>120</v>
      </c>
      <c r="E74" s="1" t="s">
        <v>50</v>
      </c>
      <c r="F74" s="1" t="s">
        <v>89</v>
      </c>
      <c r="G74" s="1" t="s">
        <v>90</v>
      </c>
      <c r="H74" s="1" t="s">
        <v>74</v>
      </c>
      <c r="I74">
        <v>2</v>
      </c>
      <c r="J74">
        <v>85</v>
      </c>
      <c r="K74">
        <v>48</v>
      </c>
      <c r="L74">
        <v>0.15</v>
      </c>
      <c r="M74" s="1" t="s">
        <v>23</v>
      </c>
      <c r="N74" s="1" t="s">
        <v>36</v>
      </c>
      <c r="O74">
        <v>48</v>
      </c>
      <c r="P74">
        <v>144.5</v>
      </c>
      <c r="Q74">
        <v>96</v>
      </c>
      <c r="R74">
        <v>48.5</v>
      </c>
      <c r="S74">
        <v>0.33564013840830398</v>
      </c>
    </row>
    <row r="75" spans="1:19" x14ac:dyDescent="0.3">
      <c r="A75" s="1" t="s">
        <v>268</v>
      </c>
      <c r="B75" s="7">
        <f>MONTH(Clean_Sales[[#This Row],[Order_Date]])</f>
        <v>6</v>
      </c>
      <c r="C75" s="6">
        <v>46179</v>
      </c>
      <c r="D75" s="1" t="s">
        <v>202</v>
      </c>
      <c r="E75" s="1" t="s">
        <v>28</v>
      </c>
      <c r="F75" s="1" t="s">
        <v>29</v>
      </c>
      <c r="G75" s="1" t="s">
        <v>30</v>
      </c>
      <c r="H75" s="1" t="s">
        <v>31</v>
      </c>
      <c r="I75">
        <v>6</v>
      </c>
      <c r="J75">
        <v>280</v>
      </c>
      <c r="K75">
        <v>190</v>
      </c>
      <c r="L75">
        <v>0.15</v>
      </c>
      <c r="M75" s="1" t="s">
        <v>46</v>
      </c>
      <c r="N75" s="1" t="s">
        <v>36</v>
      </c>
      <c r="O75">
        <v>190</v>
      </c>
      <c r="P75">
        <v>1428</v>
      </c>
      <c r="Q75">
        <v>1140</v>
      </c>
      <c r="R75">
        <v>288</v>
      </c>
      <c r="S75">
        <v>0.20168067226890801</v>
      </c>
    </row>
    <row r="76" spans="1:19" x14ac:dyDescent="0.3">
      <c r="A76" s="1" t="s">
        <v>270</v>
      </c>
      <c r="B76" s="7">
        <f>MONTH(Clean_Sales[[#This Row],[Order_Date]])</f>
        <v>3</v>
      </c>
      <c r="C76" s="6">
        <v>46093</v>
      </c>
      <c r="D76" s="1" t="s">
        <v>271</v>
      </c>
      <c r="E76" s="1" t="s">
        <v>59</v>
      </c>
      <c r="F76" s="1" t="s">
        <v>51</v>
      </c>
      <c r="G76" s="1" t="s">
        <v>52</v>
      </c>
      <c r="H76" s="1" t="s">
        <v>42</v>
      </c>
      <c r="I76">
        <v>7</v>
      </c>
      <c r="J76">
        <v>310</v>
      </c>
      <c r="K76">
        <v>220</v>
      </c>
      <c r="L76">
        <v>0.05</v>
      </c>
      <c r="M76" s="1" t="s">
        <v>23</v>
      </c>
      <c r="N76" s="1" t="s">
        <v>36</v>
      </c>
      <c r="O76">
        <v>220</v>
      </c>
      <c r="P76">
        <v>2061.5</v>
      </c>
      <c r="Q76">
        <v>1540</v>
      </c>
      <c r="R76">
        <v>521.5</v>
      </c>
      <c r="S76">
        <v>0.25297113752122202</v>
      </c>
    </row>
    <row r="77" spans="1:19" x14ac:dyDescent="0.3">
      <c r="A77" s="1" t="s">
        <v>272</v>
      </c>
      <c r="B77" s="7">
        <f>MONTH(Clean_Sales[[#This Row],[Order_Date]])</f>
        <v>2</v>
      </c>
      <c r="C77" s="6">
        <v>46055</v>
      </c>
      <c r="D77" s="1" t="s">
        <v>273</v>
      </c>
      <c r="E77" s="1" t="s">
        <v>124</v>
      </c>
      <c r="F77" s="1" t="s">
        <v>106</v>
      </c>
      <c r="G77" s="1" t="s">
        <v>107</v>
      </c>
      <c r="H77" s="1" t="s">
        <v>31</v>
      </c>
      <c r="I77">
        <v>8</v>
      </c>
      <c r="J77">
        <v>190</v>
      </c>
      <c r="K77">
        <v>115</v>
      </c>
      <c r="L77">
        <v>0.1</v>
      </c>
      <c r="M77" s="1" t="s">
        <v>46</v>
      </c>
      <c r="N77" s="1" t="s">
        <v>36</v>
      </c>
      <c r="O77">
        <v>115</v>
      </c>
      <c r="P77">
        <v>1368</v>
      </c>
      <c r="Q77">
        <v>920</v>
      </c>
      <c r="R77">
        <v>448</v>
      </c>
      <c r="S77">
        <v>0.32748538011695899</v>
      </c>
    </row>
    <row r="78" spans="1:19" x14ac:dyDescent="0.3">
      <c r="A78" s="1" t="s">
        <v>274</v>
      </c>
      <c r="B78" s="7">
        <f>MONTH(Clean_Sales[[#This Row],[Order_Date]])</f>
        <v>1</v>
      </c>
      <c r="C78" s="6">
        <v>46024</v>
      </c>
      <c r="D78" s="1" t="s">
        <v>96</v>
      </c>
      <c r="E78" s="1" t="s">
        <v>28</v>
      </c>
      <c r="F78" s="1" t="s">
        <v>72</v>
      </c>
      <c r="G78" s="1" t="s">
        <v>73</v>
      </c>
      <c r="H78" s="1" t="s">
        <v>74</v>
      </c>
      <c r="I78">
        <v>3</v>
      </c>
      <c r="J78">
        <v>65</v>
      </c>
      <c r="K78">
        <v>35</v>
      </c>
      <c r="L78">
        <v>0.1</v>
      </c>
      <c r="M78" s="1" t="s">
        <v>23</v>
      </c>
      <c r="N78" s="1" t="s">
        <v>36</v>
      </c>
      <c r="O78">
        <v>35</v>
      </c>
      <c r="P78">
        <v>175.5</v>
      </c>
      <c r="Q78">
        <v>105</v>
      </c>
      <c r="R78">
        <v>70.5</v>
      </c>
      <c r="S78">
        <v>0.401709401709402</v>
      </c>
    </row>
    <row r="79" spans="1:19" x14ac:dyDescent="0.3">
      <c r="A79" s="1" t="s">
        <v>275</v>
      </c>
      <c r="B79" s="7">
        <f>MONTH(Clean_Sales[[#This Row],[Order_Date]])</f>
        <v>4</v>
      </c>
      <c r="C79" s="6">
        <v>46135</v>
      </c>
      <c r="D79" s="1" t="s">
        <v>140</v>
      </c>
      <c r="E79" s="1" t="s">
        <v>59</v>
      </c>
      <c r="F79" s="1" t="s">
        <v>89</v>
      </c>
      <c r="G79" s="1" t="s">
        <v>90</v>
      </c>
      <c r="H79" s="1" t="s">
        <v>74</v>
      </c>
      <c r="I79">
        <v>3</v>
      </c>
      <c r="J79">
        <v>85</v>
      </c>
      <c r="K79">
        <v>48</v>
      </c>
      <c r="L79">
        <v>0.1</v>
      </c>
      <c r="M79" s="1" t="s">
        <v>46</v>
      </c>
      <c r="N79" s="1" t="s">
        <v>36</v>
      </c>
      <c r="O79">
        <v>48</v>
      </c>
      <c r="P79">
        <v>229.5</v>
      </c>
      <c r="Q79">
        <v>144</v>
      </c>
      <c r="R79">
        <v>85.5</v>
      </c>
      <c r="S79">
        <v>0.37254901960784298</v>
      </c>
    </row>
    <row r="80" spans="1:19" x14ac:dyDescent="0.3">
      <c r="A80" s="1" t="s">
        <v>277</v>
      </c>
      <c r="B80" s="7">
        <f>MONTH(Clean_Sales[[#This Row],[Order_Date]])</f>
        <v>2</v>
      </c>
      <c r="C80" s="6">
        <v>46075</v>
      </c>
      <c r="D80" s="1" t="s">
        <v>279</v>
      </c>
      <c r="E80" s="1" t="s">
        <v>50</v>
      </c>
      <c r="F80" s="1" t="s">
        <v>106</v>
      </c>
      <c r="G80" s="1" t="s">
        <v>107</v>
      </c>
      <c r="H80" s="1" t="s">
        <v>31</v>
      </c>
      <c r="I80">
        <v>2</v>
      </c>
      <c r="J80">
        <v>190</v>
      </c>
      <c r="K80">
        <v>115</v>
      </c>
      <c r="L80">
        <v>0.15</v>
      </c>
      <c r="M80" s="1" t="s">
        <v>46</v>
      </c>
      <c r="N80" s="1" t="s">
        <v>36</v>
      </c>
      <c r="O80">
        <v>115</v>
      </c>
      <c r="P80">
        <v>323</v>
      </c>
      <c r="Q80">
        <v>230</v>
      </c>
      <c r="R80">
        <v>93</v>
      </c>
      <c r="S80">
        <v>0.28792569659442702</v>
      </c>
    </row>
    <row r="81" spans="1:19" x14ac:dyDescent="0.3">
      <c r="A81" s="1" t="s">
        <v>280</v>
      </c>
      <c r="B81" s="7">
        <f>MONTH(Clean_Sales[[#This Row],[Order_Date]])</f>
        <v>4</v>
      </c>
      <c r="C81" s="6">
        <v>46115</v>
      </c>
      <c r="D81" s="1" t="s">
        <v>159</v>
      </c>
      <c r="E81" s="1" t="s">
        <v>59</v>
      </c>
      <c r="F81" s="1" t="s">
        <v>106</v>
      </c>
      <c r="G81" s="1" t="s">
        <v>107</v>
      </c>
      <c r="H81" s="1" t="s">
        <v>31</v>
      </c>
      <c r="I81">
        <v>2</v>
      </c>
      <c r="J81">
        <v>190</v>
      </c>
      <c r="K81">
        <v>115</v>
      </c>
      <c r="L81">
        <v>0.1</v>
      </c>
      <c r="M81" s="1" t="s">
        <v>46</v>
      </c>
      <c r="N81" s="1" t="s">
        <v>36</v>
      </c>
      <c r="O81">
        <v>115</v>
      </c>
      <c r="P81">
        <v>342</v>
      </c>
      <c r="Q81">
        <v>230</v>
      </c>
      <c r="R81">
        <v>112</v>
      </c>
      <c r="S81">
        <v>0.32748538011695899</v>
      </c>
    </row>
    <row r="82" spans="1:19" x14ac:dyDescent="0.3">
      <c r="A82" s="1" t="s">
        <v>282</v>
      </c>
      <c r="B82" s="7">
        <f>MONTH(Clean_Sales[[#This Row],[Order_Date]])</f>
        <v>5</v>
      </c>
      <c r="C82" s="6">
        <v>46151</v>
      </c>
      <c r="D82" s="1" t="s">
        <v>284</v>
      </c>
      <c r="E82" s="1" t="s">
        <v>50</v>
      </c>
      <c r="F82" s="1" t="s">
        <v>64</v>
      </c>
      <c r="G82" s="1" t="s">
        <v>65</v>
      </c>
      <c r="H82" s="1" t="s">
        <v>42</v>
      </c>
      <c r="I82">
        <v>7</v>
      </c>
      <c r="J82">
        <v>360</v>
      </c>
      <c r="K82">
        <v>250</v>
      </c>
      <c r="L82">
        <v>0.05</v>
      </c>
      <c r="M82" s="1" t="s">
        <v>23</v>
      </c>
      <c r="N82" s="1" t="s">
        <v>36</v>
      </c>
      <c r="O82">
        <v>250</v>
      </c>
      <c r="P82">
        <v>2394</v>
      </c>
      <c r="Q82">
        <v>1750</v>
      </c>
      <c r="R82">
        <v>644</v>
      </c>
      <c r="S82">
        <v>0.26900584795321603</v>
      </c>
    </row>
    <row r="83" spans="1:19" x14ac:dyDescent="0.3">
      <c r="A83" s="1" t="s">
        <v>285</v>
      </c>
      <c r="B83" s="7">
        <f>MONTH(Clean_Sales[[#This Row],[Order_Date]])</f>
        <v>1</v>
      </c>
      <c r="C83" s="6">
        <v>46027</v>
      </c>
      <c r="D83" s="1" t="s">
        <v>273</v>
      </c>
      <c r="E83" s="1" t="s">
        <v>50</v>
      </c>
      <c r="F83" s="1" t="s">
        <v>89</v>
      </c>
      <c r="G83" s="1" t="s">
        <v>90</v>
      </c>
      <c r="H83" s="1" t="s">
        <v>74</v>
      </c>
      <c r="I83">
        <v>4</v>
      </c>
      <c r="J83">
        <v>85</v>
      </c>
      <c r="K83">
        <v>48</v>
      </c>
      <c r="L83">
        <v>0.15</v>
      </c>
      <c r="M83" s="1" t="s">
        <v>23</v>
      </c>
      <c r="N83" s="1" t="s">
        <v>36</v>
      </c>
      <c r="O83">
        <v>48</v>
      </c>
      <c r="P83">
        <v>289</v>
      </c>
      <c r="Q83">
        <v>192</v>
      </c>
      <c r="R83">
        <v>97</v>
      </c>
      <c r="S83">
        <v>0.33564013840830398</v>
      </c>
    </row>
    <row r="84" spans="1:19" x14ac:dyDescent="0.3">
      <c r="A84" s="1" t="s">
        <v>287</v>
      </c>
      <c r="B84" s="7">
        <f>MONTH(Clean_Sales[[#This Row],[Order_Date]])</f>
        <v>1</v>
      </c>
      <c r="C84" s="6">
        <v>46050</v>
      </c>
      <c r="D84" s="1" t="s">
        <v>289</v>
      </c>
      <c r="E84" s="1" t="s">
        <v>124</v>
      </c>
      <c r="F84" s="1" t="s">
        <v>51</v>
      </c>
      <c r="G84" s="1" t="s">
        <v>52</v>
      </c>
      <c r="H84" s="1" t="s">
        <v>42</v>
      </c>
      <c r="I84">
        <v>7</v>
      </c>
      <c r="J84">
        <v>310</v>
      </c>
      <c r="K84">
        <v>220</v>
      </c>
      <c r="L84">
        <v>0.15</v>
      </c>
      <c r="M84" s="1" t="s">
        <v>23</v>
      </c>
      <c r="N84" s="1" t="s">
        <v>36</v>
      </c>
      <c r="O84">
        <v>220</v>
      </c>
      <c r="P84">
        <v>1844.5</v>
      </c>
      <c r="Q84">
        <v>1540</v>
      </c>
      <c r="R84">
        <v>304.5</v>
      </c>
      <c r="S84">
        <v>0.165085388994307</v>
      </c>
    </row>
    <row r="85" spans="1:19" x14ac:dyDescent="0.3">
      <c r="A85" s="1" t="s">
        <v>290</v>
      </c>
      <c r="B85" s="7">
        <f>MONTH(Clean_Sales[[#This Row],[Order_Date]])</f>
        <v>2</v>
      </c>
      <c r="C85" s="6">
        <v>46070</v>
      </c>
      <c r="D85" s="1" t="s">
        <v>63</v>
      </c>
      <c r="E85" s="1" t="s">
        <v>50</v>
      </c>
      <c r="F85" s="1" t="s">
        <v>29</v>
      </c>
      <c r="G85" s="1" t="s">
        <v>30</v>
      </c>
      <c r="H85" s="1" t="s">
        <v>31</v>
      </c>
      <c r="I85">
        <v>7</v>
      </c>
      <c r="J85">
        <v>280</v>
      </c>
      <c r="K85">
        <v>190</v>
      </c>
      <c r="L85">
        <v>0</v>
      </c>
      <c r="M85" s="1" t="s">
        <v>23</v>
      </c>
      <c r="N85" s="1" t="s">
        <v>36</v>
      </c>
      <c r="O85">
        <v>190</v>
      </c>
      <c r="P85">
        <v>1960</v>
      </c>
      <c r="Q85">
        <v>1330</v>
      </c>
      <c r="R85">
        <v>630</v>
      </c>
      <c r="S85">
        <v>0.32142857142857101</v>
      </c>
    </row>
    <row r="86" spans="1:19" x14ac:dyDescent="0.3">
      <c r="A86" s="1" t="s">
        <v>291</v>
      </c>
      <c r="B86" s="7">
        <f>MONTH(Clean_Sales[[#This Row],[Order_Date]])</f>
        <v>6</v>
      </c>
      <c r="C86" s="6">
        <v>46196</v>
      </c>
      <c r="D86" s="1" t="s">
        <v>293</v>
      </c>
      <c r="E86" s="1" t="s">
        <v>50</v>
      </c>
      <c r="F86" s="1" t="s">
        <v>40</v>
      </c>
      <c r="G86" s="1" t="s">
        <v>41</v>
      </c>
      <c r="H86" s="1" t="s">
        <v>42</v>
      </c>
      <c r="I86">
        <v>4</v>
      </c>
      <c r="J86">
        <v>1250</v>
      </c>
      <c r="K86">
        <v>940</v>
      </c>
      <c r="L86">
        <v>0.15</v>
      </c>
      <c r="M86" s="1" t="s">
        <v>23</v>
      </c>
      <c r="N86" s="1" t="s">
        <v>36</v>
      </c>
      <c r="O86">
        <v>940</v>
      </c>
      <c r="P86">
        <v>4250</v>
      </c>
      <c r="Q86">
        <v>3760</v>
      </c>
      <c r="R86">
        <v>490</v>
      </c>
      <c r="S86">
        <v>0.11529411764705901</v>
      </c>
    </row>
    <row r="87" spans="1:19" x14ac:dyDescent="0.3">
      <c r="A87" s="1" t="s">
        <v>294</v>
      </c>
      <c r="B87" s="7">
        <f>MONTH(Clean_Sales[[#This Row],[Order_Date]])</f>
        <v>2</v>
      </c>
      <c r="C87" s="6">
        <v>46080</v>
      </c>
      <c r="D87" s="1" t="s">
        <v>295</v>
      </c>
      <c r="E87" s="1" t="s">
        <v>124</v>
      </c>
      <c r="F87" s="1" t="s">
        <v>17</v>
      </c>
      <c r="G87" s="1" t="s">
        <v>18</v>
      </c>
      <c r="H87" s="1" t="s">
        <v>74</v>
      </c>
      <c r="I87">
        <v>5</v>
      </c>
      <c r="J87">
        <v>25</v>
      </c>
      <c r="K87">
        <v>12</v>
      </c>
      <c r="L87">
        <v>0.05</v>
      </c>
      <c r="M87" s="1" t="s">
        <v>23</v>
      </c>
      <c r="N87" s="1" t="s">
        <v>36</v>
      </c>
      <c r="O87">
        <v>12</v>
      </c>
      <c r="P87">
        <v>118.75</v>
      </c>
      <c r="Q87">
        <v>60</v>
      </c>
      <c r="R87">
        <v>58.75</v>
      </c>
      <c r="S87">
        <v>0.49473684210526298</v>
      </c>
    </row>
    <row r="88" spans="1:19" x14ac:dyDescent="0.3">
      <c r="A88" s="1" t="s">
        <v>296</v>
      </c>
      <c r="B88" s="7">
        <f>MONTH(Clean_Sales[[#This Row],[Order_Date]])</f>
        <v>6</v>
      </c>
      <c r="C88" s="6">
        <v>46200</v>
      </c>
      <c r="D88" s="1" t="s">
        <v>99</v>
      </c>
      <c r="E88" s="1" t="s">
        <v>124</v>
      </c>
      <c r="F88" s="1" t="s">
        <v>89</v>
      </c>
      <c r="G88" s="1" t="s">
        <v>90</v>
      </c>
      <c r="H88" s="1" t="s">
        <v>74</v>
      </c>
      <c r="I88">
        <v>2</v>
      </c>
      <c r="J88">
        <v>85</v>
      </c>
      <c r="K88">
        <v>48</v>
      </c>
      <c r="L88">
        <v>0.15</v>
      </c>
      <c r="M88" s="1" t="s">
        <v>46</v>
      </c>
      <c r="N88" s="1" t="s">
        <v>36</v>
      </c>
      <c r="O88">
        <v>48</v>
      </c>
      <c r="P88">
        <v>144.5</v>
      </c>
      <c r="Q88">
        <v>96</v>
      </c>
      <c r="R88">
        <v>48.5</v>
      </c>
      <c r="S88">
        <v>0.33564013840830398</v>
      </c>
    </row>
    <row r="89" spans="1:19" x14ac:dyDescent="0.3">
      <c r="A89" s="1" t="s">
        <v>298</v>
      </c>
      <c r="B89" s="7">
        <f>MONTH(Clean_Sales[[#This Row],[Order_Date]])</f>
        <v>2</v>
      </c>
      <c r="C89" s="6">
        <v>46080</v>
      </c>
      <c r="D89" s="1" t="s">
        <v>194</v>
      </c>
      <c r="E89" s="1" t="s">
        <v>50</v>
      </c>
      <c r="F89" s="1" t="s">
        <v>106</v>
      </c>
      <c r="G89" s="1" t="s">
        <v>107</v>
      </c>
      <c r="H89" s="1" t="s">
        <v>31</v>
      </c>
      <c r="I89">
        <v>4</v>
      </c>
      <c r="J89">
        <v>190</v>
      </c>
      <c r="L89">
        <v>0.15</v>
      </c>
      <c r="M89" s="1" t="s">
        <v>23</v>
      </c>
      <c r="N89" s="1" t="s">
        <v>36</v>
      </c>
      <c r="O89">
        <v>115</v>
      </c>
      <c r="P89">
        <v>646</v>
      </c>
      <c r="Q89">
        <v>460</v>
      </c>
      <c r="R89">
        <v>186</v>
      </c>
      <c r="S89">
        <v>0.28792569659442702</v>
      </c>
    </row>
    <row r="90" spans="1:19" x14ac:dyDescent="0.3">
      <c r="A90" s="1" t="s">
        <v>299</v>
      </c>
      <c r="B90" s="7">
        <f>MONTH(Clean_Sales[[#This Row],[Order_Date]])</f>
        <v>4</v>
      </c>
      <c r="C90" s="6">
        <v>46140</v>
      </c>
      <c r="D90" s="1" t="s">
        <v>166</v>
      </c>
      <c r="E90" s="1" t="s">
        <v>124</v>
      </c>
      <c r="F90" s="1" t="s">
        <v>106</v>
      </c>
      <c r="G90" s="1" t="s">
        <v>107</v>
      </c>
      <c r="H90" s="1" t="s">
        <v>31</v>
      </c>
      <c r="I90">
        <v>5</v>
      </c>
      <c r="J90">
        <v>190</v>
      </c>
      <c r="K90">
        <v>115</v>
      </c>
      <c r="L90">
        <v>0.1</v>
      </c>
      <c r="M90" s="1" t="s">
        <v>23</v>
      </c>
      <c r="N90" s="1" t="s">
        <v>36</v>
      </c>
      <c r="O90">
        <v>115</v>
      </c>
      <c r="P90">
        <v>855</v>
      </c>
      <c r="Q90">
        <v>575</v>
      </c>
      <c r="R90">
        <v>280</v>
      </c>
      <c r="S90">
        <v>0.32748538011695899</v>
      </c>
    </row>
    <row r="91" spans="1:19" x14ac:dyDescent="0.3">
      <c r="A91" s="1" t="s">
        <v>301</v>
      </c>
      <c r="B91" s="7">
        <f>MONTH(Clean_Sales[[#This Row],[Order_Date]])</f>
        <v>4</v>
      </c>
      <c r="C91" s="6">
        <v>46115</v>
      </c>
      <c r="D91" s="1" t="s">
        <v>302</v>
      </c>
      <c r="E91" s="1" t="s">
        <v>50</v>
      </c>
      <c r="F91" s="1" t="s">
        <v>17</v>
      </c>
      <c r="G91" s="1" t="s">
        <v>18</v>
      </c>
      <c r="H91" s="1" t="s">
        <v>74</v>
      </c>
      <c r="I91">
        <v>1</v>
      </c>
      <c r="J91">
        <v>25</v>
      </c>
      <c r="K91">
        <v>12</v>
      </c>
      <c r="L91">
        <v>0.05</v>
      </c>
      <c r="M91" s="1" t="s">
        <v>46</v>
      </c>
      <c r="N91" s="1" t="s">
        <v>36</v>
      </c>
      <c r="O91">
        <v>12</v>
      </c>
      <c r="P91">
        <v>23.75</v>
      </c>
      <c r="Q91">
        <v>12</v>
      </c>
      <c r="R91">
        <v>11.75</v>
      </c>
      <c r="S91">
        <v>0.49473684210526298</v>
      </c>
    </row>
    <row r="92" spans="1:19" x14ac:dyDescent="0.3">
      <c r="A92" s="1" t="s">
        <v>303</v>
      </c>
      <c r="B92" s="7">
        <f>MONTH(Clean_Sales[[#This Row],[Order_Date]])</f>
        <v>1</v>
      </c>
      <c r="C92" s="6">
        <v>46028</v>
      </c>
      <c r="D92" s="1" t="s">
        <v>305</v>
      </c>
      <c r="E92" s="1" t="s">
        <v>28</v>
      </c>
      <c r="F92" s="1" t="s">
        <v>106</v>
      </c>
      <c r="G92" s="1" t="s">
        <v>107</v>
      </c>
      <c r="H92" s="1" t="s">
        <v>31</v>
      </c>
      <c r="I92">
        <v>7</v>
      </c>
      <c r="J92">
        <v>190</v>
      </c>
      <c r="K92">
        <v>115</v>
      </c>
      <c r="L92">
        <v>0</v>
      </c>
      <c r="M92" s="1" t="s">
        <v>46</v>
      </c>
      <c r="N92" s="1" t="s">
        <v>36</v>
      </c>
      <c r="O92">
        <v>115</v>
      </c>
      <c r="P92">
        <v>1330</v>
      </c>
      <c r="Q92">
        <v>805</v>
      </c>
      <c r="R92">
        <v>525</v>
      </c>
      <c r="S92">
        <v>0.394736842105263</v>
      </c>
    </row>
    <row r="93" spans="1:19" x14ac:dyDescent="0.3">
      <c r="A93" s="1" t="s">
        <v>306</v>
      </c>
      <c r="B93" s="7">
        <f>MONTH(Clean_Sales[[#This Row],[Order_Date]])</f>
        <v>2</v>
      </c>
      <c r="C93" s="6">
        <v>46079</v>
      </c>
      <c r="D93" s="1" t="s">
        <v>308</v>
      </c>
      <c r="E93" s="1" t="s">
        <v>124</v>
      </c>
      <c r="F93" s="1" t="s">
        <v>64</v>
      </c>
      <c r="G93" s="1" t="s">
        <v>65</v>
      </c>
      <c r="H93" s="1" t="s">
        <v>42</v>
      </c>
      <c r="I93">
        <v>6</v>
      </c>
      <c r="J93">
        <v>360</v>
      </c>
      <c r="K93">
        <v>250</v>
      </c>
      <c r="L93">
        <v>0.05</v>
      </c>
      <c r="M93" s="1" t="s">
        <v>23</v>
      </c>
      <c r="N93" s="1" t="s">
        <v>36</v>
      </c>
      <c r="O93">
        <v>250</v>
      </c>
      <c r="P93">
        <v>2052</v>
      </c>
      <c r="Q93">
        <v>1500</v>
      </c>
      <c r="R93">
        <v>552</v>
      </c>
      <c r="S93">
        <v>0.26900584795321603</v>
      </c>
    </row>
    <row r="94" spans="1:19" x14ac:dyDescent="0.3">
      <c r="A94" s="1" t="s">
        <v>309</v>
      </c>
      <c r="B94" s="7">
        <f>MONTH(Clean_Sales[[#This Row],[Order_Date]])</f>
        <v>6</v>
      </c>
      <c r="C94" s="6">
        <v>46188</v>
      </c>
      <c r="D94" s="1" t="s">
        <v>263</v>
      </c>
      <c r="E94" s="1" t="s">
        <v>124</v>
      </c>
      <c r="F94" s="1" t="s">
        <v>51</v>
      </c>
      <c r="G94" s="1" t="s">
        <v>52</v>
      </c>
      <c r="H94" s="1" t="s">
        <v>42</v>
      </c>
      <c r="I94">
        <v>8</v>
      </c>
      <c r="J94">
        <v>310</v>
      </c>
      <c r="K94">
        <v>220</v>
      </c>
      <c r="L94">
        <v>0.15</v>
      </c>
      <c r="M94" s="1" t="s">
        <v>46</v>
      </c>
      <c r="N94" s="1" t="s">
        <v>36</v>
      </c>
      <c r="O94">
        <v>220</v>
      </c>
      <c r="P94">
        <v>2108</v>
      </c>
      <c r="Q94">
        <v>1760</v>
      </c>
      <c r="R94">
        <v>348</v>
      </c>
      <c r="S94">
        <v>0.165085388994307</v>
      </c>
    </row>
    <row r="95" spans="1:19" x14ac:dyDescent="0.3">
      <c r="A95" s="1" t="s">
        <v>312</v>
      </c>
      <c r="B95" s="7">
        <f>MONTH(Clean_Sales[[#This Row],[Order_Date]])</f>
        <v>3</v>
      </c>
      <c r="C95" s="6">
        <v>46091</v>
      </c>
      <c r="D95" s="1" t="s">
        <v>182</v>
      </c>
      <c r="E95" s="1" t="s">
        <v>50</v>
      </c>
      <c r="F95" s="1" t="s">
        <v>17</v>
      </c>
      <c r="G95" s="1" t="s">
        <v>18</v>
      </c>
      <c r="H95" s="1" t="s">
        <v>74</v>
      </c>
      <c r="I95">
        <v>6</v>
      </c>
      <c r="J95">
        <v>25</v>
      </c>
      <c r="K95">
        <v>12</v>
      </c>
      <c r="L95">
        <v>0.05</v>
      </c>
      <c r="M95" s="1" t="s">
        <v>23</v>
      </c>
      <c r="N95" s="1" t="s">
        <v>36</v>
      </c>
      <c r="O95">
        <v>12</v>
      </c>
      <c r="P95">
        <v>142.5</v>
      </c>
      <c r="Q95">
        <v>72</v>
      </c>
      <c r="R95">
        <v>70.5</v>
      </c>
      <c r="S95">
        <v>0.49473684210526298</v>
      </c>
    </row>
    <row r="96" spans="1:19" x14ac:dyDescent="0.3">
      <c r="A96" s="1" t="s">
        <v>314</v>
      </c>
      <c r="B96" s="7">
        <f>MONTH(Clean_Sales[[#This Row],[Order_Date]])</f>
        <v>5</v>
      </c>
      <c r="C96" s="6">
        <v>46173</v>
      </c>
      <c r="D96" s="1" t="s">
        <v>315</v>
      </c>
      <c r="E96" s="1" t="s">
        <v>59</v>
      </c>
      <c r="F96" s="1" t="s">
        <v>29</v>
      </c>
      <c r="G96" s="1" t="s">
        <v>30</v>
      </c>
      <c r="H96" s="1" t="s">
        <v>31</v>
      </c>
      <c r="I96">
        <v>5</v>
      </c>
      <c r="J96">
        <v>280</v>
      </c>
      <c r="K96">
        <v>190</v>
      </c>
      <c r="L96">
        <v>0.05</v>
      </c>
      <c r="M96" s="1" t="s">
        <v>23</v>
      </c>
      <c r="N96" s="1" t="s">
        <v>36</v>
      </c>
      <c r="O96">
        <v>190</v>
      </c>
      <c r="P96">
        <v>1330</v>
      </c>
      <c r="Q96">
        <v>950</v>
      </c>
      <c r="R96">
        <v>380</v>
      </c>
      <c r="S96">
        <v>0.28571428571428598</v>
      </c>
    </row>
    <row r="97" spans="1:19" x14ac:dyDescent="0.3">
      <c r="A97" s="1" t="s">
        <v>319</v>
      </c>
      <c r="B97" s="7">
        <f>MONTH(Clean_Sales[[#This Row],[Order_Date]])</f>
        <v>1</v>
      </c>
      <c r="C97" s="6">
        <v>46053</v>
      </c>
      <c r="D97" s="1" t="s">
        <v>320</v>
      </c>
      <c r="E97" s="1" t="s">
        <v>124</v>
      </c>
      <c r="F97" s="1" t="s">
        <v>64</v>
      </c>
      <c r="G97" s="1" t="s">
        <v>65</v>
      </c>
      <c r="H97" s="1" t="s">
        <v>42</v>
      </c>
      <c r="I97">
        <v>2</v>
      </c>
      <c r="J97">
        <v>360</v>
      </c>
      <c r="K97">
        <v>250</v>
      </c>
      <c r="L97">
        <v>0</v>
      </c>
      <c r="M97" s="1" t="s">
        <v>23</v>
      </c>
      <c r="N97" s="1" t="s">
        <v>36</v>
      </c>
      <c r="O97">
        <v>250</v>
      </c>
      <c r="P97">
        <v>720</v>
      </c>
      <c r="Q97">
        <v>500</v>
      </c>
      <c r="R97">
        <v>220</v>
      </c>
      <c r="S97">
        <v>0.30555555555555602</v>
      </c>
    </row>
    <row r="98" spans="1:19" x14ac:dyDescent="0.3">
      <c r="A98" s="1" t="s">
        <v>321</v>
      </c>
      <c r="B98" s="7">
        <f>MONTH(Clean_Sales[[#This Row],[Order_Date]])</f>
        <v>3</v>
      </c>
      <c r="C98" s="6">
        <v>46105</v>
      </c>
      <c r="D98" s="1" t="s">
        <v>322</v>
      </c>
      <c r="E98" s="1" t="s">
        <v>28</v>
      </c>
      <c r="F98" s="1" t="s">
        <v>40</v>
      </c>
      <c r="G98" s="1" t="s">
        <v>41</v>
      </c>
      <c r="H98" s="1" t="s">
        <v>42</v>
      </c>
      <c r="I98">
        <v>1</v>
      </c>
      <c r="J98">
        <v>1250</v>
      </c>
      <c r="K98">
        <v>940</v>
      </c>
      <c r="L98">
        <v>0.05</v>
      </c>
      <c r="M98" s="1" t="s">
        <v>23</v>
      </c>
      <c r="N98" s="1" t="s">
        <v>36</v>
      </c>
      <c r="O98">
        <v>940</v>
      </c>
      <c r="P98">
        <v>1187.5</v>
      </c>
      <c r="Q98">
        <v>940</v>
      </c>
      <c r="R98">
        <v>247.5</v>
      </c>
      <c r="S98">
        <v>0.20842105263157901</v>
      </c>
    </row>
    <row r="99" spans="1:19" x14ac:dyDescent="0.3">
      <c r="A99" s="1" t="s">
        <v>323</v>
      </c>
      <c r="B99" s="7">
        <f>MONTH(Clean_Sales[[#This Row],[Order_Date]])</f>
        <v>2</v>
      </c>
      <c r="C99" s="6">
        <v>46055</v>
      </c>
      <c r="D99" s="1" t="s">
        <v>248</v>
      </c>
      <c r="E99" s="1" t="s">
        <v>50</v>
      </c>
      <c r="F99" s="1" t="s">
        <v>72</v>
      </c>
      <c r="G99" s="1" t="s">
        <v>73</v>
      </c>
      <c r="H99" s="1" t="s">
        <v>74</v>
      </c>
      <c r="I99">
        <v>7</v>
      </c>
      <c r="J99">
        <v>65</v>
      </c>
      <c r="K99">
        <v>35</v>
      </c>
      <c r="L99">
        <v>0.15</v>
      </c>
      <c r="M99" s="1" t="s">
        <v>46</v>
      </c>
      <c r="N99" s="1" t="s">
        <v>36</v>
      </c>
      <c r="O99">
        <v>35</v>
      </c>
      <c r="P99">
        <v>386.75</v>
      </c>
      <c r="Q99">
        <v>245</v>
      </c>
      <c r="R99">
        <v>141.75</v>
      </c>
      <c r="S99">
        <v>0.36651583710407198</v>
      </c>
    </row>
    <row r="100" spans="1:19" x14ac:dyDescent="0.3">
      <c r="A100" s="1" t="s">
        <v>324</v>
      </c>
      <c r="B100" s="7">
        <f>MONTH(Clean_Sales[[#This Row],[Order_Date]])</f>
        <v>4</v>
      </c>
      <c r="C100" s="6">
        <v>46115</v>
      </c>
      <c r="D100" s="1" t="s">
        <v>325</v>
      </c>
      <c r="E100" s="1" t="s">
        <v>59</v>
      </c>
      <c r="F100" s="1" t="s">
        <v>64</v>
      </c>
      <c r="G100" s="1" t="s">
        <v>65</v>
      </c>
      <c r="H100" s="1" t="s">
        <v>42</v>
      </c>
      <c r="I100">
        <v>1</v>
      </c>
      <c r="J100">
        <v>360</v>
      </c>
      <c r="K100">
        <v>250</v>
      </c>
      <c r="L100">
        <v>0.1</v>
      </c>
      <c r="M100" s="1" t="s">
        <v>23</v>
      </c>
      <c r="N100" s="1" t="s">
        <v>36</v>
      </c>
      <c r="O100">
        <v>250</v>
      </c>
      <c r="P100">
        <v>324</v>
      </c>
      <c r="Q100">
        <v>250</v>
      </c>
      <c r="R100">
        <v>74</v>
      </c>
      <c r="S100">
        <v>0.22839506172839499</v>
      </c>
    </row>
    <row r="101" spans="1:19" x14ac:dyDescent="0.3">
      <c r="A101" s="1" t="s">
        <v>326</v>
      </c>
      <c r="B101" s="7">
        <f>MONTH(Clean_Sales[[#This Row],[Order_Date]])</f>
        <v>1</v>
      </c>
      <c r="C101" s="6">
        <v>46038</v>
      </c>
      <c r="D101" s="1" t="s">
        <v>327</v>
      </c>
      <c r="E101" s="1" t="s">
        <v>28</v>
      </c>
      <c r="F101" s="1" t="s">
        <v>89</v>
      </c>
      <c r="G101" s="1" t="s">
        <v>90</v>
      </c>
      <c r="H101" s="1" t="s">
        <v>74</v>
      </c>
      <c r="I101">
        <v>1</v>
      </c>
      <c r="J101">
        <v>85</v>
      </c>
      <c r="K101">
        <v>48</v>
      </c>
      <c r="L101">
        <v>0.15</v>
      </c>
      <c r="M101" s="1" t="s">
        <v>23</v>
      </c>
      <c r="N101" s="1" t="s">
        <v>36</v>
      </c>
      <c r="O101">
        <v>48</v>
      </c>
      <c r="P101">
        <v>72.25</v>
      </c>
      <c r="Q101">
        <v>48</v>
      </c>
      <c r="R101">
        <v>24.25</v>
      </c>
      <c r="S101">
        <v>0.33564013840830398</v>
      </c>
    </row>
    <row r="102" spans="1:19" x14ac:dyDescent="0.3">
      <c r="A102" s="1" t="s">
        <v>328</v>
      </c>
      <c r="B102" s="7">
        <f>MONTH(Clean_Sales[[#This Row],[Order_Date]])</f>
        <v>1</v>
      </c>
      <c r="C102" s="6">
        <v>46031</v>
      </c>
      <c r="D102" s="1" t="s">
        <v>162</v>
      </c>
      <c r="E102" s="1" t="s">
        <v>50</v>
      </c>
      <c r="F102" s="1" t="s">
        <v>17</v>
      </c>
      <c r="G102" s="1" t="s">
        <v>18</v>
      </c>
      <c r="H102" s="1" t="s">
        <v>74</v>
      </c>
      <c r="I102">
        <v>6</v>
      </c>
      <c r="J102">
        <v>25</v>
      </c>
      <c r="K102">
        <v>12</v>
      </c>
      <c r="L102">
        <v>0.05</v>
      </c>
      <c r="M102" s="1" t="s">
        <v>23</v>
      </c>
      <c r="N102" s="1" t="s">
        <v>36</v>
      </c>
      <c r="O102">
        <v>12</v>
      </c>
      <c r="P102">
        <v>142.5</v>
      </c>
      <c r="Q102">
        <v>72</v>
      </c>
      <c r="R102">
        <v>70.5</v>
      </c>
      <c r="S102">
        <v>0.49473684210526298</v>
      </c>
    </row>
    <row r="103" spans="1:19" x14ac:dyDescent="0.3">
      <c r="A103" s="1" t="s">
        <v>330</v>
      </c>
      <c r="B103" s="7">
        <f>MONTH(Clean_Sales[[#This Row],[Order_Date]])</f>
        <v>1</v>
      </c>
      <c r="C103" s="6">
        <v>46046</v>
      </c>
      <c r="D103" s="1" t="s">
        <v>331</v>
      </c>
      <c r="E103" s="1" t="s">
        <v>124</v>
      </c>
      <c r="F103" s="1" t="s">
        <v>106</v>
      </c>
      <c r="G103" s="1" t="s">
        <v>107</v>
      </c>
      <c r="H103" s="1" t="s">
        <v>31</v>
      </c>
      <c r="I103">
        <v>6</v>
      </c>
      <c r="J103">
        <v>190</v>
      </c>
      <c r="K103">
        <v>115</v>
      </c>
      <c r="L103">
        <v>0</v>
      </c>
      <c r="M103" s="1" t="s">
        <v>46</v>
      </c>
      <c r="N103" s="1" t="s">
        <v>36</v>
      </c>
      <c r="O103">
        <v>115</v>
      </c>
      <c r="P103">
        <v>1140</v>
      </c>
      <c r="Q103">
        <v>690</v>
      </c>
      <c r="R103">
        <v>450</v>
      </c>
      <c r="S103">
        <v>0.394736842105263</v>
      </c>
    </row>
    <row r="104" spans="1:19" x14ac:dyDescent="0.3">
      <c r="A104" s="1" t="s">
        <v>332</v>
      </c>
      <c r="B104" s="7">
        <f>MONTH(Clean_Sales[[#This Row],[Order_Date]])</f>
        <v>5</v>
      </c>
      <c r="C104" s="6">
        <v>46172</v>
      </c>
      <c r="D104" s="1" t="s">
        <v>333</v>
      </c>
      <c r="E104" s="1" t="s">
        <v>124</v>
      </c>
      <c r="F104" s="1" t="s">
        <v>89</v>
      </c>
      <c r="G104" s="1" t="s">
        <v>90</v>
      </c>
      <c r="H104" s="1" t="s">
        <v>74</v>
      </c>
      <c r="I104">
        <v>1</v>
      </c>
      <c r="J104">
        <v>85</v>
      </c>
      <c r="K104">
        <v>48</v>
      </c>
      <c r="L104">
        <v>0.1</v>
      </c>
      <c r="M104" s="1" t="s">
        <v>23</v>
      </c>
      <c r="N104" s="1" t="s">
        <v>36</v>
      </c>
      <c r="O104">
        <v>48</v>
      </c>
      <c r="P104">
        <v>76.5</v>
      </c>
      <c r="Q104">
        <v>48</v>
      </c>
      <c r="R104">
        <v>28.5</v>
      </c>
      <c r="S104">
        <v>0.37254901960784298</v>
      </c>
    </row>
    <row r="105" spans="1:19" x14ac:dyDescent="0.3">
      <c r="A105" s="1" t="s">
        <v>334</v>
      </c>
      <c r="B105" s="7">
        <f>MONTH(Clean_Sales[[#This Row],[Order_Date]])</f>
        <v>4</v>
      </c>
      <c r="C105" s="6">
        <v>46134</v>
      </c>
      <c r="D105" s="1" t="s">
        <v>175</v>
      </c>
      <c r="E105" s="1" t="s">
        <v>50</v>
      </c>
      <c r="F105" s="1" t="s">
        <v>17</v>
      </c>
      <c r="G105" s="1" t="s">
        <v>18</v>
      </c>
      <c r="H105" s="1" t="s">
        <v>74</v>
      </c>
      <c r="I105">
        <v>4</v>
      </c>
      <c r="J105">
        <v>25</v>
      </c>
      <c r="K105">
        <v>12</v>
      </c>
      <c r="L105">
        <v>0.1</v>
      </c>
      <c r="M105" s="1" t="s">
        <v>23</v>
      </c>
      <c r="N105" s="1" t="s">
        <v>36</v>
      </c>
      <c r="O105">
        <v>12</v>
      </c>
      <c r="P105">
        <v>90</v>
      </c>
      <c r="Q105">
        <v>48</v>
      </c>
      <c r="R105">
        <v>42</v>
      </c>
      <c r="S105">
        <v>0.46666666666666701</v>
      </c>
    </row>
    <row r="106" spans="1:19" x14ac:dyDescent="0.3">
      <c r="A106" s="1" t="s">
        <v>336</v>
      </c>
      <c r="B106" s="7">
        <f>MONTH(Clean_Sales[[#This Row],[Order_Date]])</f>
        <v>2</v>
      </c>
      <c r="C106" s="6">
        <v>46064</v>
      </c>
      <c r="D106" s="1" t="s">
        <v>331</v>
      </c>
      <c r="E106" s="1" t="s">
        <v>124</v>
      </c>
      <c r="F106" s="1" t="s">
        <v>64</v>
      </c>
      <c r="G106" s="1" t="s">
        <v>65</v>
      </c>
      <c r="H106" s="1" t="s">
        <v>42</v>
      </c>
      <c r="I106">
        <v>6</v>
      </c>
      <c r="J106">
        <v>360</v>
      </c>
      <c r="K106">
        <v>250</v>
      </c>
      <c r="L106">
        <v>0.05</v>
      </c>
      <c r="M106" s="1" t="s">
        <v>46</v>
      </c>
      <c r="N106" s="1" t="s">
        <v>36</v>
      </c>
      <c r="O106">
        <v>250</v>
      </c>
      <c r="P106">
        <v>2052</v>
      </c>
      <c r="Q106">
        <v>1500</v>
      </c>
      <c r="R106">
        <v>552</v>
      </c>
      <c r="S106">
        <v>0.26900584795321603</v>
      </c>
    </row>
    <row r="107" spans="1:19" x14ac:dyDescent="0.3">
      <c r="A107" s="1" t="s">
        <v>338</v>
      </c>
      <c r="B107" s="7">
        <f>MONTH(Clean_Sales[[#This Row],[Order_Date]])</f>
        <v>1</v>
      </c>
      <c r="C107" s="6">
        <v>46023</v>
      </c>
      <c r="D107" s="1" t="s">
        <v>273</v>
      </c>
      <c r="E107" s="1" t="s">
        <v>28</v>
      </c>
      <c r="F107" s="1" t="s">
        <v>89</v>
      </c>
      <c r="G107" s="1" t="s">
        <v>90</v>
      </c>
      <c r="H107" s="1" t="s">
        <v>74</v>
      </c>
      <c r="I107">
        <v>7</v>
      </c>
      <c r="J107">
        <v>85</v>
      </c>
      <c r="K107">
        <v>48</v>
      </c>
      <c r="L107">
        <v>0.1</v>
      </c>
      <c r="M107" s="1" t="s">
        <v>46</v>
      </c>
      <c r="N107" s="1" t="s">
        <v>36</v>
      </c>
      <c r="O107">
        <v>48</v>
      </c>
      <c r="P107">
        <v>535.5</v>
      </c>
      <c r="Q107">
        <v>336</v>
      </c>
      <c r="R107">
        <v>199.5</v>
      </c>
      <c r="S107">
        <v>0.37254901960784298</v>
      </c>
    </row>
    <row r="108" spans="1:19" x14ac:dyDescent="0.3">
      <c r="A108" s="1" t="s">
        <v>339</v>
      </c>
      <c r="B108" s="7">
        <f>MONTH(Clean_Sales[[#This Row],[Order_Date]])</f>
        <v>2</v>
      </c>
      <c r="C108" s="6">
        <v>46077</v>
      </c>
      <c r="D108" s="1" t="s">
        <v>185</v>
      </c>
      <c r="E108" s="1" t="s">
        <v>28</v>
      </c>
      <c r="F108" s="1" t="s">
        <v>64</v>
      </c>
      <c r="G108" s="1" t="s">
        <v>65</v>
      </c>
      <c r="H108" s="1" t="s">
        <v>42</v>
      </c>
      <c r="I108">
        <v>6</v>
      </c>
      <c r="J108">
        <v>360</v>
      </c>
      <c r="K108">
        <v>250</v>
      </c>
      <c r="L108">
        <v>0</v>
      </c>
      <c r="M108" s="1" t="s">
        <v>23</v>
      </c>
      <c r="N108" s="1" t="s">
        <v>36</v>
      </c>
      <c r="O108">
        <v>250</v>
      </c>
      <c r="P108">
        <v>2160</v>
      </c>
      <c r="Q108">
        <v>1500</v>
      </c>
      <c r="R108">
        <v>660</v>
      </c>
      <c r="S108">
        <v>0.30555555555555602</v>
      </c>
    </row>
    <row r="109" spans="1:19" x14ac:dyDescent="0.3">
      <c r="A109" s="1" t="s">
        <v>341</v>
      </c>
      <c r="B109" s="7">
        <f>MONTH(Clean_Sales[[#This Row],[Order_Date]])</f>
        <v>6</v>
      </c>
      <c r="C109" s="6">
        <v>46195</v>
      </c>
      <c r="D109" s="1" t="s">
        <v>235</v>
      </c>
      <c r="E109" s="1" t="s">
        <v>124</v>
      </c>
      <c r="F109" s="1" t="s">
        <v>89</v>
      </c>
      <c r="G109" s="1" t="s">
        <v>90</v>
      </c>
      <c r="H109" s="1" t="s">
        <v>74</v>
      </c>
      <c r="I109">
        <v>3</v>
      </c>
      <c r="J109">
        <v>85</v>
      </c>
      <c r="K109">
        <v>48</v>
      </c>
      <c r="L109">
        <v>0.15</v>
      </c>
      <c r="M109" s="1" t="s">
        <v>23</v>
      </c>
      <c r="N109" s="1" t="s">
        <v>36</v>
      </c>
      <c r="O109">
        <v>48</v>
      </c>
      <c r="P109">
        <v>216.75</v>
      </c>
      <c r="Q109">
        <v>144</v>
      </c>
      <c r="R109">
        <v>72.75</v>
      </c>
      <c r="S109">
        <v>0.33564013840830398</v>
      </c>
    </row>
    <row r="110" spans="1:19" x14ac:dyDescent="0.3">
      <c r="A110" s="1" t="s">
        <v>343</v>
      </c>
      <c r="B110" s="7">
        <f>MONTH(Clean_Sales[[#This Row],[Order_Date]])</f>
        <v>5</v>
      </c>
      <c r="C110" s="6">
        <v>46173</v>
      </c>
      <c r="D110" s="1" t="s">
        <v>345</v>
      </c>
      <c r="E110" s="1" t="s">
        <v>124</v>
      </c>
      <c r="F110" s="1" t="s">
        <v>40</v>
      </c>
      <c r="G110" s="1" t="s">
        <v>41</v>
      </c>
      <c r="H110" s="1" t="s">
        <v>42</v>
      </c>
      <c r="I110">
        <v>6</v>
      </c>
      <c r="J110">
        <v>1250</v>
      </c>
      <c r="K110">
        <v>940</v>
      </c>
      <c r="L110">
        <v>0</v>
      </c>
      <c r="M110" s="1" t="s">
        <v>46</v>
      </c>
      <c r="N110" s="1" t="s">
        <v>36</v>
      </c>
      <c r="O110">
        <v>940</v>
      </c>
      <c r="P110">
        <v>7500</v>
      </c>
      <c r="Q110">
        <v>5640</v>
      </c>
      <c r="R110">
        <v>1860</v>
      </c>
      <c r="S110">
        <v>0.248</v>
      </c>
    </row>
    <row r="111" spans="1:19" x14ac:dyDescent="0.3">
      <c r="A111" s="1" t="s">
        <v>346</v>
      </c>
      <c r="B111" s="7">
        <f>MONTH(Clean_Sales[[#This Row],[Order_Date]])</f>
        <v>3</v>
      </c>
      <c r="C111" s="6">
        <v>46094</v>
      </c>
      <c r="D111" s="1" t="s">
        <v>148</v>
      </c>
      <c r="E111" s="1" t="s">
        <v>59</v>
      </c>
      <c r="F111" s="1" t="s">
        <v>64</v>
      </c>
      <c r="G111" s="1" t="s">
        <v>65</v>
      </c>
      <c r="H111" s="1" t="s">
        <v>42</v>
      </c>
      <c r="I111">
        <v>4</v>
      </c>
      <c r="J111">
        <v>360</v>
      </c>
      <c r="K111">
        <v>250</v>
      </c>
      <c r="L111">
        <v>0</v>
      </c>
      <c r="M111" s="1" t="s">
        <v>46</v>
      </c>
      <c r="N111" s="1" t="s">
        <v>36</v>
      </c>
      <c r="O111">
        <v>250</v>
      </c>
      <c r="P111">
        <v>1440</v>
      </c>
      <c r="Q111">
        <v>1000</v>
      </c>
      <c r="R111">
        <v>440</v>
      </c>
      <c r="S111">
        <v>0.30555555555555602</v>
      </c>
    </row>
    <row r="112" spans="1:19" x14ac:dyDescent="0.3">
      <c r="A112" s="1" t="s">
        <v>348</v>
      </c>
      <c r="B112" s="7">
        <f>MONTH(Clean_Sales[[#This Row],[Order_Date]])</f>
        <v>3</v>
      </c>
      <c r="C112" s="6">
        <v>46095</v>
      </c>
      <c r="D112" s="1" t="s">
        <v>155</v>
      </c>
      <c r="E112" s="1" t="s">
        <v>50</v>
      </c>
      <c r="F112" s="1" t="s">
        <v>29</v>
      </c>
      <c r="G112" s="1" t="s">
        <v>30</v>
      </c>
      <c r="H112" s="1" t="s">
        <v>31</v>
      </c>
      <c r="I112">
        <v>2</v>
      </c>
      <c r="J112">
        <v>280</v>
      </c>
      <c r="K112">
        <v>190</v>
      </c>
      <c r="L112">
        <v>0.15</v>
      </c>
      <c r="M112" s="1" t="s">
        <v>23</v>
      </c>
      <c r="N112" s="1" t="s">
        <v>36</v>
      </c>
      <c r="O112">
        <v>190</v>
      </c>
      <c r="P112">
        <v>476</v>
      </c>
      <c r="Q112">
        <v>380</v>
      </c>
      <c r="R112">
        <v>96</v>
      </c>
      <c r="S112">
        <v>0.20168067226890801</v>
      </c>
    </row>
    <row r="113" spans="1:19" x14ac:dyDescent="0.3">
      <c r="A113" s="1" t="s">
        <v>350</v>
      </c>
      <c r="B113" s="7">
        <f>MONTH(Clean_Sales[[#This Row],[Order_Date]])</f>
        <v>4</v>
      </c>
      <c r="C113" s="6">
        <v>46128</v>
      </c>
      <c r="D113" s="1" t="s">
        <v>322</v>
      </c>
      <c r="E113" s="1" t="s">
        <v>124</v>
      </c>
      <c r="F113" s="1" t="s">
        <v>51</v>
      </c>
      <c r="G113" s="1" t="s">
        <v>52</v>
      </c>
      <c r="H113" s="1" t="s">
        <v>42</v>
      </c>
      <c r="I113">
        <v>4</v>
      </c>
      <c r="J113">
        <v>310</v>
      </c>
      <c r="K113">
        <v>220</v>
      </c>
      <c r="L113">
        <v>0</v>
      </c>
      <c r="M113" s="1" t="s">
        <v>46</v>
      </c>
      <c r="N113" s="1" t="s">
        <v>36</v>
      </c>
      <c r="O113">
        <v>220</v>
      </c>
      <c r="P113">
        <v>1240</v>
      </c>
      <c r="Q113">
        <v>880</v>
      </c>
      <c r="R113">
        <v>360</v>
      </c>
      <c r="S113">
        <v>0.29032258064516098</v>
      </c>
    </row>
    <row r="114" spans="1:19" x14ac:dyDescent="0.3">
      <c r="A114" s="1" t="s">
        <v>351</v>
      </c>
      <c r="B114" s="7">
        <f>MONTH(Clean_Sales[[#This Row],[Order_Date]])</f>
        <v>3</v>
      </c>
      <c r="C114" s="6">
        <v>46105</v>
      </c>
      <c r="D114" s="1" t="s">
        <v>248</v>
      </c>
      <c r="E114" s="1" t="s">
        <v>124</v>
      </c>
      <c r="F114" s="1" t="s">
        <v>51</v>
      </c>
      <c r="G114" s="1" t="s">
        <v>52</v>
      </c>
      <c r="H114" s="1" t="s">
        <v>42</v>
      </c>
      <c r="I114">
        <v>7</v>
      </c>
      <c r="J114">
        <v>310</v>
      </c>
      <c r="K114">
        <v>220</v>
      </c>
      <c r="L114">
        <v>0.1</v>
      </c>
      <c r="M114" s="1" t="s">
        <v>46</v>
      </c>
      <c r="N114" s="1" t="s">
        <v>36</v>
      </c>
      <c r="O114">
        <v>220</v>
      </c>
      <c r="P114">
        <v>1953</v>
      </c>
      <c r="Q114">
        <v>1540</v>
      </c>
      <c r="R114">
        <v>413</v>
      </c>
      <c r="S114">
        <v>0.21146953405017899</v>
      </c>
    </row>
    <row r="115" spans="1:19" x14ac:dyDescent="0.3">
      <c r="A115" s="1" t="s">
        <v>352</v>
      </c>
      <c r="B115" s="7">
        <f>MONTH(Clean_Sales[[#This Row],[Order_Date]])</f>
        <v>1</v>
      </c>
      <c r="C115" s="6">
        <v>46052</v>
      </c>
      <c r="D115" s="1" t="s">
        <v>88</v>
      </c>
      <c r="E115" s="1" t="s">
        <v>124</v>
      </c>
      <c r="F115" s="1" t="s">
        <v>17</v>
      </c>
      <c r="G115" s="1" t="s">
        <v>18</v>
      </c>
      <c r="H115" s="1" t="s">
        <v>74</v>
      </c>
      <c r="I115">
        <v>3</v>
      </c>
      <c r="J115">
        <v>25</v>
      </c>
      <c r="K115">
        <v>12</v>
      </c>
      <c r="L115">
        <v>0.15</v>
      </c>
      <c r="M115" s="1" t="s">
        <v>23</v>
      </c>
      <c r="N115" s="1" t="s">
        <v>36</v>
      </c>
      <c r="O115">
        <v>12</v>
      </c>
      <c r="P115">
        <v>63.75</v>
      </c>
      <c r="Q115">
        <v>36</v>
      </c>
      <c r="R115">
        <v>27.75</v>
      </c>
      <c r="S115">
        <v>0.435294117647059</v>
      </c>
    </row>
    <row r="116" spans="1:19" x14ac:dyDescent="0.3">
      <c r="A116" s="1" t="s">
        <v>357</v>
      </c>
      <c r="B116" s="7">
        <f>MONTH(Clean_Sales[[#This Row],[Order_Date]])</f>
        <v>3</v>
      </c>
      <c r="C116" s="6">
        <v>46109</v>
      </c>
      <c r="D116" s="1" t="s">
        <v>345</v>
      </c>
      <c r="E116" s="1" t="s">
        <v>124</v>
      </c>
      <c r="F116" s="1" t="s">
        <v>72</v>
      </c>
      <c r="G116" s="1" t="s">
        <v>73</v>
      </c>
      <c r="H116" s="1" t="s">
        <v>74</v>
      </c>
      <c r="I116">
        <v>1</v>
      </c>
      <c r="J116">
        <v>65</v>
      </c>
      <c r="K116">
        <v>35</v>
      </c>
      <c r="L116">
        <v>0.15</v>
      </c>
      <c r="M116" s="1" t="s">
        <v>23</v>
      </c>
      <c r="N116" s="1" t="s">
        <v>36</v>
      </c>
      <c r="O116">
        <v>35</v>
      </c>
      <c r="P116">
        <v>55.25</v>
      </c>
      <c r="Q116">
        <v>35</v>
      </c>
      <c r="R116">
        <v>20.25</v>
      </c>
      <c r="S116">
        <v>0.36651583710407198</v>
      </c>
    </row>
    <row r="117" spans="1:19" x14ac:dyDescent="0.3">
      <c r="A117" s="1" t="s">
        <v>359</v>
      </c>
      <c r="B117" s="7">
        <f>MONTH(Clean_Sales[[#This Row],[Order_Date]])</f>
        <v>3</v>
      </c>
      <c r="C117" s="6">
        <v>46099</v>
      </c>
      <c r="D117" s="1" t="s">
        <v>117</v>
      </c>
      <c r="E117" s="1" t="s">
        <v>50</v>
      </c>
      <c r="F117" s="1" t="s">
        <v>72</v>
      </c>
      <c r="G117" s="1" t="s">
        <v>73</v>
      </c>
      <c r="H117" s="1" t="s">
        <v>74</v>
      </c>
      <c r="I117">
        <v>8</v>
      </c>
      <c r="J117">
        <v>65</v>
      </c>
      <c r="K117">
        <v>35</v>
      </c>
      <c r="L117">
        <v>0.05</v>
      </c>
      <c r="M117" s="1" t="s">
        <v>46</v>
      </c>
      <c r="N117" s="1" t="s">
        <v>36</v>
      </c>
      <c r="O117">
        <v>35</v>
      </c>
      <c r="P117">
        <v>494</v>
      </c>
      <c r="Q117">
        <v>280</v>
      </c>
      <c r="R117">
        <v>214</v>
      </c>
      <c r="S117">
        <v>0.43319838056680199</v>
      </c>
    </row>
    <row r="118" spans="1:19" x14ac:dyDescent="0.3">
      <c r="A118" s="1" t="s">
        <v>361</v>
      </c>
      <c r="B118" s="7">
        <f>MONTH(Clean_Sales[[#This Row],[Order_Date]])</f>
        <v>2</v>
      </c>
      <c r="C118" s="6">
        <v>46057</v>
      </c>
      <c r="D118" s="1" t="s">
        <v>123</v>
      </c>
      <c r="E118" s="1" t="s">
        <v>124</v>
      </c>
      <c r="F118" s="1" t="s">
        <v>89</v>
      </c>
      <c r="G118" s="1" t="s">
        <v>90</v>
      </c>
      <c r="H118" s="1" t="s">
        <v>74</v>
      </c>
      <c r="I118">
        <v>7</v>
      </c>
      <c r="J118">
        <v>85</v>
      </c>
      <c r="K118">
        <v>48</v>
      </c>
      <c r="L118">
        <v>0.1</v>
      </c>
      <c r="M118" s="1" t="s">
        <v>46</v>
      </c>
      <c r="N118" s="1" t="s">
        <v>36</v>
      </c>
      <c r="O118">
        <v>48</v>
      </c>
      <c r="P118">
        <v>535.5</v>
      </c>
      <c r="Q118">
        <v>336</v>
      </c>
      <c r="R118">
        <v>199.5</v>
      </c>
      <c r="S118">
        <v>0.37254901960784298</v>
      </c>
    </row>
    <row r="119" spans="1:19" x14ac:dyDescent="0.3">
      <c r="A119" s="1" t="s">
        <v>363</v>
      </c>
      <c r="B119" s="7">
        <f>MONTH(Clean_Sales[[#This Row],[Order_Date]])</f>
        <v>6</v>
      </c>
      <c r="C119" s="6">
        <v>46189</v>
      </c>
      <c r="D119" s="1" t="s">
        <v>364</v>
      </c>
      <c r="E119" s="1" t="s">
        <v>28</v>
      </c>
      <c r="F119" s="1" t="s">
        <v>64</v>
      </c>
      <c r="G119" s="1" t="s">
        <v>65</v>
      </c>
      <c r="H119" s="1" t="s">
        <v>42</v>
      </c>
      <c r="I119">
        <v>6</v>
      </c>
      <c r="J119">
        <v>360</v>
      </c>
      <c r="K119">
        <v>250</v>
      </c>
      <c r="L119">
        <v>0.15</v>
      </c>
      <c r="M119" s="1" t="s">
        <v>23</v>
      </c>
      <c r="N119" s="1" t="s">
        <v>36</v>
      </c>
      <c r="O119">
        <v>250</v>
      </c>
      <c r="P119">
        <v>1836</v>
      </c>
      <c r="Q119">
        <v>1500</v>
      </c>
      <c r="R119">
        <v>336</v>
      </c>
      <c r="S119">
        <v>0.18300653594771199</v>
      </c>
    </row>
    <row r="120" spans="1:19" x14ac:dyDescent="0.3">
      <c r="A120" s="1" t="s">
        <v>365</v>
      </c>
      <c r="B120" s="7">
        <f>MONTH(Clean_Sales[[#This Row],[Order_Date]])</f>
        <v>1</v>
      </c>
      <c r="C120" s="6">
        <v>46026</v>
      </c>
      <c r="D120" s="1" t="s">
        <v>367</v>
      </c>
      <c r="E120" s="1" t="s">
        <v>124</v>
      </c>
      <c r="F120" s="1" t="s">
        <v>106</v>
      </c>
      <c r="G120" s="1" t="s">
        <v>107</v>
      </c>
      <c r="H120" s="1" t="s">
        <v>31</v>
      </c>
      <c r="I120">
        <v>5</v>
      </c>
      <c r="J120">
        <v>190</v>
      </c>
      <c r="K120">
        <v>115</v>
      </c>
      <c r="L120">
        <v>0</v>
      </c>
      <c r="M120" s="1" t="s">
        <v>46</v>
      </c>
      <c r="N120" s="1" t="s">
        <v>36</v>
      </c>
      <c r="O120">
        <v>115</v>
      </c>
      <c r="P120">
        <v>950</v>
      </c>
      <c r="Q120">
        <v>575</v>
      </c>
      <c r="R120">
        <v>375</v>
      </c>
      <c r="S120">
        <v>0.394736842105263</v>
      </c>
    </row>
    <row r="121" spans="1:19" x14ac:dyDescent="0.3">
      <c r="A121" s="1" t="s">
        <v>369</v>
      </c>
      <c r="B121" s="7">
        <f>MONTH(Clean_Sales[[#This Row],[Order_Date]])</f>
        <v>4</v>
      </c>
      <c r="C121" s="6">
        <v>46124</v>
      </c>
      <c r="D121" s="1" t="s">
        <v>371</v>
      </c>
      <c r="E121" s="1" t="s">
        <v>28</v>
      </c>
      <c r="F121" s="1" t="s">
        <v>72</v>
      </c>
      <c r="G121" s="1" t="s">
        <v>73</v>
      </c>
      <c r="H121" s="1" t="s">
        <v>74</v>
      </c>
      <c r="I121">
        <v>1</v>
      </c>
      <c r="J121">
        <v>65</v>
      </c>
      <c r="K121">
        <v>35</v>
      </c>
      <c r="L121">
        <v>0.05</v>
      </c>
      <c r="M121" s="1" t="s">
        <v>23</v>
      </c>
      <c r="N121" s="1" t="s">
        <v>36</v>
      </c>
      <c r="O121">
        <v>35</v>
      </c>
      <c r="P121">
        <v>61.75</v>
      </c>
      <c r="Q121">
        <v>35</v>
      </c>
      <c r="R121">
        <v>26.75</v>
      </c>
      <c r="S121">
        <v>0.43319838056680199</v>
      </c>
    </row>
    <row r="122" spans="1:19" x14ac:dyDescent="0.3">
      <c r="A122" s="1" t="s">
        <v>372</v>
      </c>
      <c r="B122" s="7">
        <f>MONTH(Clean_Sales[[#This Row],[Order_Date]])</f>
        <v>4</v>
      </c>
      <c r="C122" s="6">
        <v>46140</v>
      </c>
      <c r="D122" s="1" t="s">
        <v>364</v>
      </c>
      <c r="E122" s="1" t="s">
        <v>59</v>
      </c>
      <c r="F122" s="1" t="s">
        <v>89</v>
      </c>
      <c r="G122" s="1" t="s">
        <v>90</v>
      </c>
      <c r="H122" s="1" t="s">
        <v>74</v>
      </c>
      <c r="I122">
        <v>6</v>
      </c>
      <c r="J122">
        <v>85</v>
      </c>
      <c r="K122">
        <v>48</v>
      </c>
      <c r="L122">
        <v>0.15</v>
      </c>
      <c r="M122" s="1" t="s">
        <v>46</v>
      </c>
      <c r="N122" s="1" t="s">
        <v>36</v>
      </c>
      <c r="O122">
        <v>48</v>
      </c>
      <c r="P122">
        <v>433.5</v>
      </c>
      <c r="Q122">
        <v>288</v>
      </c>
      <c r="R122">
        <v>145.5</v>
      </c>
      <c r="S122">
        <v>0.33564013840830398</v>
      </c>
    </row>
    <row r="123" spans="1:19" x14ac:dyDescent="0.3">
      <c r="A123" s="1" t="s">
        <v>373</v>
      </c>
      <c r="B123" s="7">
        <f>MONTH(Clean_Sales[[#This Row],[Order_Date]])</f>
        <v>6</v>
      </c>
      <c r="C123" s="6">
        <v>46185</v>
      </c>
      <c r="D123" s="1" t="s">
        <v>152</v>
      </c>
      <c r="E123" s="1" t="s">
        <v>124</v>
      </c>
      <c r="F123" s="1" t="s">
        <v>29</v>
      </c>
      <c r="G123" s="1" t="s">
        <v>30</v>
      </c>
      <c r="H123" s="1" t="s">
        <v>31</v>
      </c>
      <c r="I123">
        <v>2</v>
      </c>
      <c r="J123">
        <v>280</v>
      </c>
      <c r="K123">
        <v>190</v>
      </c>
      <c r="L123">
        <v>0.05</v>
      </c>
      <c r="M123" s="1" t="s">
        <v>46</v>
      </c>
      <c r="N123" s="1" t="s">
        <v>36</v>
      </c>
      <c r="O123">
        <v>190</v>
      </c>
      <c r="P123">
        <v>532</v>
      </c>
      <c r="Q123">
        <v>380</v>
      </c>
      <c r="R123">
        <v>152</v>
      </c>
      <c r="S123">
        <v>0.28571428571428598</v>
      </c>
    </row>
    <row r="124" spans="1:19" x14ac:dyDescent="0.3">
      <c r="A124" s="1" t="s">
        <v>375</v>
      </c>
      <c r="B124" s="7">
        <f>MONTH(Clean_Sales[[#This Row],[Order_Date]])</f>
        <v>6</v>
      </c>
      <c r="C124" s="6">
        <v>46202</v>
      </c>
      <c r="D124" s="1" t="s">
        <v>377</v>
      </c>
      <c r="E124" s="1" t="s">
        <v>124</v>
      </c>
      <c r="F124" s="1" t="s">
        <v>106</v>
      </c>
      <c r="G124" s="1" t="s">
        <v>107</v>
      </c>
      <c r="H124" s="1" t="s">
        <v>31</v>
      </c>
      <c r="I124">
        <v>4</v>
      </c>
      <c r="J124">
        <v>190</v>
      </c>
      <c r="K124">
        <v>115</v>
      </c>
      <c r="L124">
        <v>0.15</v>
      </c>
      <c r="M124" s="1" t="s">
        <v>46</v>
      </c>
      <c r="N124" s="1" t="s">
        <v>36</v>
      </c>
      <c r="O124">
        <v>115</v>
      </c>
      <c r="P124">
        <v>646</v>
      </c>
      <c r="Q124">
        <v>460</v>
      </c>
      <c r="R124">
        <v>186</v>
      </c>
      <c r="S124">
        <v>0.28792569659442702</v>
      </c>
    </row>
    <row r="125" spans="1:19" x14ac:dyDescent="0.3">
      <c r="A125" s="1" t="s">
        <v>378</v>
      </c>
      <c r="B125" s="7">
        <f>MONTH(Clean_Sales[[#This Row],[Order_Date]])</f>
        <v>2</v>
      </c>
      <c r="C125" s="6">
        <v>46065</v>
      </c>
      <c r="D125" s="1" t="s">
        <v>152</v>
      </c>
      <c r="E125" s="1" t="s">
        <v>50</v>
      </c>
      <c r="F125" s="1" t="s">
        <v>29</v>
      </c>
      <c r="G125" s="1" t="s">
        <v>30</v>
      </c>
      <c r="H125" s="1" t="s">
        <v>31</v>
      </c>
      <c r="I125">
        <v>4</v>
      </c>
      <c r="J125">
        <v>280</v>
      </c>
      <c r="K125">
        <v>190</v>
      </c>
      <c r="L125">
        <v>0.1</v>
      </c>
      <c r="M125" s="1" t="s">
        <v>46</v>
      </c>
      <c r="N125" s="1" t="s">
        <v>36</v>
      </c>
      <c r="O125">
        <v>190</v>
      </c>
      <c r="P125">
        <v>1008</v>
      </c>
      <c r="Q125">
        <v>760</v>
      </c>
      <c r="R125">
        <v>248</v>
      </c>
      <c r="S125">
        <v>0.24603174603174599</v>
      </c>
    </row>
    <row r="126" spans="1:19" x14ac:dyDescent="0.3">
      <c r="A126" s="1" t="s">
        <v>379</v>
      </c>
      <c r="B126" s="7">
        <f>MONTH(Clean_Sales[[#This Row],[Order_Date]])</f>
        <v>2</v>
      </c>
      <c r="C126" s="6">
        <v>46070</v>
      </c>
      <c r="D126" s="1" t="s">
        <v>248</v>
      </c>
      <c r="E126" s="1" t="s">
        <v>28</v>
      </c>
      <c r="F126" s="1" t="s">
        <v>40</v>
      </c>
      <c r="G126" s="1" t="s">
        <v>41</v>
      </c>
      <c r="H126" s="1" t="s">
        <v>42</v>
      </c>
      <c r="I126">
        <v>7</v>
      </c>
      <c r="J126">
        <v>1250</v>
      </c>
      <c r="K126">
        <v>940</v>
      </c>
      <c r="L126">
        <v>0.15</v>
      </c>
      <c r="M126" s="1" t="s">
        <v>46</v>
      </c>
      <c r="N126" s="1" t="s">
        <v>36</v>
      </c>
      <c r="O126">
        <v>940</v>
      </c>
      <c r="P126">
        <v>7437.5</v>
      </c>
      <c r="Q126">
        <v>6580</v>
      </c>
      <c r="R126">
        <v>857.5</v>
      </c>
      <c r="S126">
        <v>0.11529411764705901</v>
      </c>
    </row>
    <row r="127" spans="1:19" x14ac:dyDescent="0.3">
      <c r="A127" s="1" t="s">
        <v>381</v>
      </c>
      <c r="B127" s="7">
        <f>MONTH(Clean_Sales[[#This Row],[Order_Date]])</f>
        <v>1</v>
      </c>
      <c r="C127" s="6">
        <v>46031</v>
      </c>
      <c r="D127" s="1" t="s">
        <v>382</v>
      </c>
      <c r="E127" s="1" t="s">
        <v>124</v>
      </c>
      <c r="F127" s="1" t="s">
        <v>40</v>
      </c>
      <c r="G127" s="1" t="s">
        <v>41</v>
      </c>
      <c r="H127" s="1" t="s">
        <v>42</v>
      </c>
      <c r="I127">
        <v>1</v>
      </c>
      <c r="J127">
        <v>1250</v>
      </c>
      <c r="K127">
        <v>940</v>
      </c>
      <c r="L127">
        <v>0.15</v>
      </c>
      <c r="M127" s="1" t="s">
        <v>46</v>
      </c>
      <c r="N127" s="1" t="s">
        <v>36</v>
      </c>
      <c r="O127">
        <v>940</v>
      </c>
      <c r="P127">
        <v>1062.5</v>
      </c>
      <c r="Q127">
        <v>940</v>
      </c>
      <c r="R127">
        <v>122.5</v>
      </c>
      <c r="S127">
        <v>0.11529411764705901</v>
      </c>
    </row>
    <row r="128" spans="1:19" x14ac:dyDescent="0.3">
      <c r="A128" s="1" t="s">
        <v>383</v>
      </c>
      <c r="B128" s="7">
        <f>MONTH(Clean_Sales[[#This Row],[Order_Date]])</f>
        <v>3</v>
      </c>
      <c r="C128" s="6">
        <v>46088</v>
      </c>
      <c r="D128" s="1" t="s">
        <v>197</v>
      </c>
      <c r="E128" s="1" t="s">
        <v>59</v>
      </c>
      <c r="F128" s="1" t="s">
        <v>72</v>
      </c>
      <c r="G128" s="1" t="s">
        <v>73</v>
      </c>
      <c r="H128" s="1" t="s">
        <v>74</v>
      </c>
      <c r="I128">
        <v>8</v>
      </c>
      <c r="J128">
        <v>65</v>
      </c>
      <c r="K128">
        <v>35</v>
      </c>
      <c r="L128">
        <v>0.05</v>
      </c>
      <c r="M128" s="1" t="s">
        <v>46</v>
      </c>
      <c r="N128" s="1" t="s">
        <v>36</v>
      </c>
      <c r="O128">
        <v>35</v>
      </c>
      <c r="P128">
        <v>494</v>
      </c>
      <c r="Q128">
        <v>280</v>
      </c>
      <c r="R128">
        <v>214</v>
      </c>
      <c r="S128">
        <v>0.43319838056680199</v>
      </c>
    </row>
    <row r="129" spans="1:19" x14ac:dyDescent="0.3">
      <c r="A129" s="1" t="s">
        <v>385</v>
      </c>
      <c r="B129" s="7">
        <f>MONTH(Clean_Sales[[#This Row],[Order_Date]])</f>
        <v>3</v>
      </c>
      <c r="C129" s="6">
        <v>46083</v>
      </c>
      <c r="D129" s="1" t="s">
        <v>123</v>
      </c>
      <c r="E129" s="1" t="s">
        <v>124</v>
      </c>
      <c r="F129" s="1" t="s">
        <v>89</v>
      </c>
      <c r="G129" s="1" t="s">
        <v>90</v>
      </c>
      <c r="H129" s="1" t="s">
        <v>74</v>
      </c>
      <c r="I129">
        <v>7</v>
      </c>
      <c r="J129">
        <v>85</v>
      </c>
      <c r="K129">
        <v>48</v>
      </c>
      <c r="L129">
        <v>0.05</v>
      </c>
      <c r="M129" s="1" t="s">
        <v>23</v>
      </c>
      <c r="N129" s="1" t="s">
        <v>36</v>
      </c>
      <c r="O129">
        <v>48</v>
      </c>
      <c r="P129">
        <v>565.25</v>
      </c>
      <c r="Q129">
        <v>336</v>
      </c>
      <c r="R129">
        <v>229.25</v>
      </c>
      <c r="S129">
        <v>0.40557275541795701</v>
      </c>
    </row>
    <row r="130" spans="1:19" x14ac:dyDescent="0.3">
      <c r="A130" s="1" t="s">
        <v>387</v>
      </c>
      <c r="B130" s="7">
        <f>MONTH(Clean_Sales[[#This Row],[Order_Date]])</f>
        <v>1</v>
      </c>
      <c r="C130" s="6">
        <v>46052</v>
      </c>
      <c r="D130" s="1" t="s">
        <v>88</v>
      </c>
      <c r="E130" s="1" t="s">
        <v>50</v>
      </c>
      <c r="F130" s="1" t="s">
        <v>89</v>
      </c>
      <c r="G130" s="1" t="s">
        <v>90</v>
      </c>
      <c r="H130" s="1" t="s">
        <v>74</v>
      </c>
      <c r="I130">
        <v>1</v>
      </c>
      <c r="J130">
        <v>85</v>
      </c>
      <c r="K130">
        <v>48</v>
      </c>
      <c r="L130">
        <v>0.1</v>
      </c>
      <c r="M130" s="1" t="s">
        <v>23</v>
      </c>
      <c r="N130" s="1" t="s">
        <v>36</v>
      </c>
      <c r="O130">
        <v>48</v>
      </c>
      <c r="P130">
        <v>76.5</v>
      </c>
      <c r="Q130">
        <v>48</v>
      </c>
      <c r="R130">
        <v>28.5</v>
      </c>
      <c r="S130">
        <v>0.37254901960784298</v>
      </c>
    </row>
    <row r="131" spans="1:19" x14ac:dyDescent="0.3">
      <c r="A131" s="1" t="s">
        <v>388</v>
      </c>
      <c r="B131" s="7">
        <f>MONTH(Clean_Sales[[#This Row],[Order_Date]])</f>
        <v>4</v>
      </c>
      <c r="C131" s="6">
        <v>46134</v>
      </c>
      <c r="D131" s="1" t="s">
        <v>320</v>
      </c>
      <c r="E131" s="1" t="s">
        <v>59</v>
      </c>
      <c r="F131" s="1" t="s">
        <v>51</v>
      </c>
      <c r="G131" s="1" t="s">
        <v>52</v>
      </c>
      <c r="H131" s="1" t="s">
        <v>42</v>
      </c>
      <c r="I131">
        <v>6</v>
      </c>
      <c r="J131">
        <v>310</v>
      </c>
      <c r="K131">
        <v>220</v>
      </c>
      <c r="L131">
        <v>0</v>
      </c>
      <c r="M131" s="1" t="s">
        <v>46</v>
      </c>
      <c r="N131" s="1" t="s">
        <v>36</v>
      </c>
      <c r="O131">
        <v>220</v>
      </c>
      <c r="P131">
        <v>1860</v>
      </c>
      <c r="Q131">
        <v>1320</v>
      </c>
      <c r="R131">
        <v>540</v>
      </c>
      <c r="S131">
        <v>0.29032258064516098</v>
      </c>
    </row>
    <row r="132" spans="1:19" x14ac:dyDescent="0.3">
      <c r="A132" s="1" t="s">
        <v>389</v>
      </c>
      <c r="B132" s="7">
        <f>MONTH(Clean_Sales[[#This Row],[Order_Date]])</f>
        <v>1</v>
      </c>
      <c r="C132" s="6">
        <v>46045</v>
      </c>
      <c r="D132" s="1" t="s">
        <v>390</v>
      </c>
      <c r="E132" s="1" t="s">
        <v>59</v>
      </c>
      <c r="F132" s="1" t="s">
        <v>64</v>
      </c>
      <c r="G132" s="1" t="s">
        <v>65</v>
      </c>
      <c r="H132" s="1" t="s">
        <v>42</v>
      </c>
      <c r="I132">
        <v>4</v>
      </c>
      <c r="J132">
        <v>360</v>
      </c>
      <c r="K132">
        <v>250</v>
      </c>
      <c r="L132">
        <v>0.05</v>
      </c>
      <c r="M132" s="1" t="s">
        <v>23</v>
      </c>
      <c r="N132" s="1" t="s">
        <v>36</v>
      </c>
      <c r="O132">
        <v>250</v>
      </c>
      <c r="P132">
        <v>1368</v>
      </c>
      <c r="Q132">
        <v>1000</v>
      </c>
      <c r="R132">
        <v>368</v>
      </c>
      <c r="S132">
        <v>0.26900584795321603</v>
      </c>
    </row>
    <row r="133" spans="1:19" x14ac:dyDescent="0.3">
      <c r="A133" s="1" t="s">
        <v>391</v>
      </c>
      <c r="B133" s="7">
        <f>MONTH(Clean_Sales[[#This Row],[Order_Date]])</f>
        <v>6</v>
      </c>
      <c r="C133" s="6">
        <v>46190</v>
      </c>
      <c r="D133" s="1" t="s">
        <v>166</v>
      </c>
      <c r="E133" s="1" t="s">
        <v>59</v>
      </c>
      <c r="F133" s="1" t="s">
        <v>64</v>
      </c>
      <c r="G133" s="1" t="s">
        <v>65</v>
      </c>
      <c r="H133" s="1" t="s">
        <v>42</v>
      </c>
      <c r="I133">
        <v>4</v>
      </c>
      <c r="J133">
        <v>360</v>
      </c>
      <c r="K133">
        <v>250</v>
      </c>
      <c r="L133">
        <v>0</v>
      </c>
      <c r="M133" s="1" t="s">
        <v>46</v>
      </c>
      <c r="N133" s="1" t="s">
        <v>36</v>
      </c>
      <c r="O133">
        <v>250</v>
      </c>
      <c r="P133">
        <v>1440</v>
      </c>
      <c r="Q133">
        <v>1000</v>
      </c>
      <c r="R133">
        <v>440</v>
      </c>
      <c r="S133">
        <v>0.30555555555555602</v>
      </c>
    </row>
    <row r="134" spans="1:19" x14ac:dyDescent="0.3">
      <c r="A134" s="1" t="s">
        <v>393</v>
      </c>
      <c r="B134" s="7">
        <f>MONTH(Clean_Sales[[#This Row],[Order_Date]])</f>
        <v>2</v>
      </c>
      <c r="C134" s="6">
        <v>46080</v>
      </c>
      <c r="D134" s="1" t="s">
        <v>102</v>
      </c>
      <c r="E134" s="1" t="s">
        <v>50</v>
      </c>
      <c r="F134" s="1" t="s">
        <v>106</v>
      </c>
      <c r="G134" s="1" t="s">
        <v>107</v>
      </c>
      <c r="H134" s="1" t="s">
        <v>31</v>
      </c>
      <c r="I134">
        <v>3</v>
      </c>
      <c r="J134">
        <v>190</v>
      </c>
      <c r="K134">
        <v>115</v>
      </c>
      <c r="L134">
        <v>0.15</v>
      </c>
      <c r="M134" s="1" t="s">
        <v>23</v>
      </c>
      <c r="N134" s="1" t="s">
        <v>36</v>
      </c>
      <c r="O134">
        <v>115</v>
      </c>
      <c r="P134">
        <v>484.5</v>
      </c>
      <c r="Q134">
        <v>345</v>
      </c>
      <c r="R134">
        <v>139.5</v>
      </c>
      <c r="S134">
        <v>0.28792569659442702</v>
      </c>
    </row>
    <row r="135" spans="1:19" x14ac:dyDescent="0.3">
      <c r="A135" s="1" t="s">
        <v>394</v>
      </c>
      <c r="B135" s="7">
        <f>MONTH(Clean_Sales[[#This Row],[Order_Date]])</f>
        <v>6</v>
      </c>
      <c r="C135" s="6">
        <v>46186</v>
      </c>
      <c r="D135" s="1" t="s">
        <v>396</v>
      </c>
      <c r="E135" s="1" t="s">
        <v>59</v>
      </c>
      <c r="F135" s="1" t="s">
        <v>17</v>
      </c>
      <c r="G135" s="1" t="s">
        <v>18</v>
      </c>
      <c r="H135" s="1" t="s">
        <v>74</v>
      </c>
      <c r="I135">
        <v>8</v>
      </c>
      <c r="J135">
        <v>25</v>
      </c>
      <c r="K135">
        <v>12</v>
      </c>
      <c r="L135">
        <v>0.15</v>
      </c>
      <c r="M135" s="1" t="s">
        <v>46</v>
      </c>
      <c r="N135" s="1" t="s">
        <v>36</v>
      </c>
      <c r="O135">
        <v>12</v>
      </c>
      <c r="P135">
        <v>170</v>
      </c>
      <c r="Q135">
        <v>96</v>
      </c>
      <c r="R135">
        <v>74</v>
      </c>
      <c r="S135">
        <v>0.435294117647059</v>
      </c>
    </row>
    <row r="136" spans="1:19" x14ac:dyDescent="0.3">
      <c r="A136" s="1" t="s">
        <v>397</v>
      </c>
      <c r="B136" s="7">
        <f>MONTH(Clean_Sales[[#This Row],[Order_Date]])</f>
        <v>6</v>
      </c>
      <c r="C136" s="6">
        <v>46197</v>
      </c>
      <c r="D136" s="1" t="s">
        <v>254</v>
      </c>
      <c r="E136" s="1" t="s">
        <v>28</v>
      </c>
      <c r="F136" s="1" t="s">
        <v>17</v>
      </c>
      <c r="G136" s="1" t="s">
        <v>18</v>
      </c>
      <c r="H136" s="1" t="s">
        <v>74</v>
      </c>
      <c r="I136">
        <v>2</v>
      </c>
      <c r="J136">
        <v>25</v>
      </c>
      <c r="K136">
        <v>12</v>
      </c>
      <c r="L136">
        <v>0.15</v>
      </c>
      <c r="M136" s="1" t="s">
        <v>23</v>
      </c>
      <c r="N136" s="1" t="s">
        <v>36</v>
      </c>
      <c r="O136">
        <v>12</v>
      </c>
      <c r="P136">
        <v>42.5</v>
      </c>
      <c r="Q136">
        <v>24</v>
      </c>
      <c r="R136">
        <v>18.5</v>
      </c>
      <c r="S136">
        <v>0.435294117647059</v>
      </c>
    </row>
    <row r="137" spans="1:19" x14ac:dyDescent="0.3">
      <c r="A137" s="1" t="s">
        <v>399</v>
      </c>
      <c r="B137" s="7">
        <f>MONTH(Clean_Sales[[#This Row],[Order_Date]])</f>
        <v>6</v>
      </c>
      <c r="C137" s="6">
        <v>46179</v>
      </c>
      <c r="D137" s="1" t="s">
        <v>305</v>
      </c>
      <c r="E137" s="1" t="s">
        <v>124</v>
      </c>
      <c r="F137" s="1" t="s">
        <v>106</v>
      </c>
      <c r="G137" s="1" t="s">
        <v>107</v>
      </c>
      <c r="H137" s="1" t="s">
        <v>31</v>
      </c>
      <c r="I137">
        <v>2</v>
      </c>
      <c r="J137">
        <v>190</v>
      </c>
      <c r="K137">
        <v>115</v>
      </c>
      <c r="L137">
        <v>0</v>
      </c>
      <c r="M137" s="1" t="s">
        <v>46</v>
      </c>
      <c r="N137" s="1" t="s">
        <v>36</v>
      </c>
      <c r="O137">
        <v>115</v>
      </c>
      <c r="P137">
        <v>380</v>
      </c>
      <c r="Q137">
        <v>230</v>
      </c>
      <c r="R137">
        <v>150</v>
      </c>
      <c r="S137">
        <v>0.394736842105263</v>
      </c>
    </row>
    <row r="138" spans="1:19" x14ac:dyDescent="0.3">
      <c r="A138" s="1" t="s">
        <v>400</v>
      </c>
      <c r="B138" s="7">
        <f>MONTH(Clean_Sales[[#This Row],[Order_Date]])</f>
        <v>4</v>
      </c>
      <c r="C138" s="6">
        <v>46113</v>
      </c>
      <c r="D138" s="1" t="s">
        <v>169</v>
      </c>
      <c r="E138" s="1" t="s">
        <v>982</v>
      </c>
      <c r="F138" s="1" t="s">
        <v>64</v>
      </c>
      <c r="G138" s="1" t="s">
        <v>65</v>
      </c>
      <c r="H138" s="1" t="s">
        <v>42</v>
      </c>
      <c r="I138">
        <v>4</v>
      </c>
      <c r="J138">
        <v>360</v>
      </c>
      <c r="K138">
        <v>250</v>
      </c>
      <c r="L138">
        <v>0</v>
      </c>
      <c r="M138" s="1" t="s">
        <v>23</v>
      </c>
      <c r="N138" s="1" t="s">
        <v>36</v>
      </c>
      <c r="O138">
        <v>250</v>
      </c>
      <c r="P138">
        <v>1440</v>
      </c>
      <c r="Q138">
        <v>1000</v>
      </c>
      <c r="R138">
        <v>440</v>
      </c>
      <c r="S138">
        <v>0.30555555555555602</v>
      </c>
    </row>
    <row r="139" spans="1:19" x14ac:dyDescent="0.3">
      <c r="A139" s="1" t="s">
        <v>401</v>
      </c>
      <c r="B139" s="7">
        <f>MONTH(Clean_Sales[[#This Row],[Order_Date]])</f>
        <v>6</v>
      </c>
      <c r="C139" s="6">
        <v>46179</v>
      </c>
      <c r="D139" s="1" t="s">
        <v>162</v>
      </c>
      <c r="E139" s="1" t="s">
        <v>59</v>
      </c>
      <c r="F139" s="1" t="s">
        <v>29</v>
      </c>
      <c r="G139" s="1" t="s">
        <v>30</v>
      </c>
      <c r="H139" s="1" t="s">
        <v>31</v>
      </c>
      <c r="I139">
        <v>1</v>
      </c>
      <c r="J139">
        <v>280</v>
      </c>
      <c r="K139">
        <v>190</v>
      </c>
      <c r="L139">
        <v>0</v>
      </c>
      <c r="M139" s="1" t="s">
        <v>23</v>
      </c>
      <c r="N139" s="1" t="s">
        <v>36</v>
      </c>
      <c r="O139">
        <v>190</v>
      </c>
      <c r="P139">
        <v>280</v>
      </c>
      <c r="Q139">
        <v>190</v>
      </c>
      <c r="R139">
        <v>90</v>
      </c>
      <c r="S139">
        <v>0.32142857142857101</v>
      </c>
    </row>
    <row r="140" spans="1:19" x14ac:dyDescent="0.3">
      <c r="A140" s="1" t="s">
        <v>402</v>
      </c>
      <c r="B140" s="7">
        <f>MONTH(Clean_Sales[[#This Row],[Order_Date]])</f>
        <v>4</v>
      </c>
      <c r="C140" s="6">
        <v>46133</v>
      </c>
      <c r="D140" s="1" t="s">
        <v>325</v>
      </c>
      <c r="E140" s="1" t="s">
        <v>28</v>
      </c>
      <c r="F140" s="1" t="s">
        <v>51</v>
      </c>
      <c r="G140" s="1" t="s">
        <v>52</v>
      </c>
      <c r="H140" s="1" t="s">
        <v>42</v>
      </c>
      <c r="I140">
        <v>8</v>
      </c>
      <c r="J140">
        <v>310</v>
      </c>
      <c r="K140">
        <v>220</v>
      </c>
      <c r="L140">
        <v>0.05</v>
      </c>
      <c r="M140" s="1" t="s">
        <v>23</v>
      </c>
      <c r="N140" s="1" t="s">
        <v>36</v>
      </c>
      <c r="O140">
        <v>220</v>
      </c>
      <c r="P140">
        <v>2356</v>
      </c>
      <c r="Q140">
        <v>1760</v>
      </c>
      <c r="R140">
        <v>596</v>
      </c>
      <c r="S140">
        <v>0.25297113752122202</v>
      </c>
    </row>
    <row r="141" spans="1:19" x14ac:dyDescent="0.3">
      <c r="A141" s="1" t="s">
        <v>404</v>
      </c>
      <c r="B141" s="7">
        <f>MONTH(Clean_Sales[[#This Row],[Order_Date]])</f>
        <v>5</v>
      </c>
      <c r="C141" s="6">
        <v>46157</v>
      </c>
      <c r="D141" s="1" t="s">
        <v>117</v>
      </c>
      <c r="E141" s="1" t="s">
        <v>28</v>
      </c>
      <c r="F141" s="1" t="s">
        <v>29</v>
      </c>
      <c r="G141" s="1" t="s">
        <v>30</v>
      </c>
      <c r="H141" s="1" t="s">
        <v>31</v>
      </c>
      <c r="I141">
        <v>1</v>
      </c>
      <c r="J141">
        <v>280</v>
      </c>
      <c r="K141">
        <v>190</v>
      </c>
      <c r="L141">
        <v>0.1</v>
      </c>
      <c r="M141" s="1" t="s">
        <v>23</v>
      </c>
      <c r="N141" s="1" t="s">
        <v>36</v>
      </c>
      <c r="O141">
        <v>190</v>
      </c>
      <c r="P141">
        <v>252</v>
      </c>
      <c r="Q141">
        <v>190</v>
      </c>
      <c r="R141">
        <v>62</v>
      </c>
      <c r="S141">
        <v>0.24603174603174599</v>
      </c>
    </row>
    <row r="142" spans="1:19" x14ac:dyDescent="0.3">
      <c r="A142" s="1" t="s">
        <v>407</v>
      </c>
      <c r="B142" s="7">
        <f>MONTH(Clean_Sales[[#This Row],[Order_Date]])</f>
        <v>2</v>
      </c>
      <c r="C142" s="6">
        <v>46080</v>
      </c>
      <c r="D142" s="1" t="s">
        <v>356</v>
      </c>
      <c r="E142" s="1" t="s">
        <v>28</v>
      </c>
      <c r="F142" s="1" t="s">
        <v>64</v>
      </c>
      <c r="G142" s="1" t="s">
        <v>65</v>
      </c>
      <c r="H142" s="1" t="s">
        <v>42</v>
      </c>
      <c r="I142">
        <v>6</v>
      </c>
      <c r="J142">
        <v>360</v>
      </c>
      <c r="K142">
        <v>250</v>
      </c>
      <c r="L142">
        <v>0</v>
      </c>
      <c r="M142" s="1" t="s">
        <v>46</v>
      </c>
      <c r="N142" s="1" t="s">
        <v>36</v>
      </c>
      <c r="O142">
        <v>250</v>
      </c>
      <c r="P142">
        <v>2160</v>
      </c>
      <c r="Q142">
        <v>1500</v>
      </c>
      <c r="R142">
        <v>660</v>
      </c>
      <c r="S142">
        <v>0.30555555555555602</v>
      </c>
    </row>
    <row r="143" spans="1:19" x14ac:dyDescent="0.3">
      <c r="A143" s="1" t="s">
        <v>408</v>
      </c>
      <c r="B143" s="7">
        <f>MONTH(Clean_Sales[[#This Row],[Order_Date]])</f>
        <v>2</v>
      </c>
      <c r="C143" s="6">
        <v>46063</v>
      </c>
      <c r="D143" s="1" t="s">
        <v>410</v>
      </c>
      <c r="E143" s="1" t="s">
        <v>124</v>
      </c>
      <c r="F143" s="1" t="s">
        <v>64</v>
      </c>
      <c r="G143" s="1" t="s">
        <v>65</v>
      </c>
      <c r="H143" s="1" t="s">
        <v>42</v>
      </c>
      <c r="I143">
        <v>8</v>
      </c>
      <c r="J143">
        <v>360</v>
      </c>
      <c r="K143">
        <v>250</v>
      </c>
      <c r="L143">
        <v>0.1</v>
      </c>
      <c r="M143" s="1" t="s">
        <v>23</v>
      </c>
      <c r="N143" s="1" t="s">
        <v>36</v>
      </c>
      <c r="O143">
        <v>250</v>
      </c>
      <c r="P143">
        <v>2592</v>
      </c>
      <c r="Q143">
        <v>2000</v>
      </c>
      <c r="R143">
        <v>592</v>
      </c>
      <c r="S143">
        <v>0.22839506172839499</v>
      </c>
    </row>
    <row r="144" spans="1:19" x14ac:dyDescent="0.3">
      <c r="A144" s="1" t="s">
        <v>411</v>
      </c>
      <c r="B144" s="7">
        <f>MONTH(Clean_Sales[[#This Row],[Order_Date]])</f>
        <v>1</v>
      </c>
      <c r="C144" s="6">
        <v>46029</v>
      </c>
      <c r="D144" s="1" t="s">
        <v>410</v>
      </c>
      <c r="E144" s="1" t="s">
        <v>124</v>
      </c>
      <c r="F144" s="1" t="s">
        <v>106</v>
      </c>
      <c r="G144" s="1" t="s">
        <v>107</v>
      </c>
      <c r="H144" s="1" t="s">
        <v>31</v>
      </c>
      <c r="I144">
        <v>1</v>
      </c>
      <c r="J144">
        <v>190</v>
      </c>
      <c r="K144">
        <v>115</v>
      </c>
      <c r="L144">
        <v>0.1</v>
      </c>
      <c r="M144" s="1" t="s">
        <v>46</v>
      </c>
      <c r="N144" s="1" t="s">
        <v>36</v>
      </c>
      <c r="O144">
        <v>115</v>
      </c>
      <c r="P144">
        <v>171</v>
      </c>
      <c r="Q144">
        <v>115</v>
      </c>
      <c r="R144">
        <v>56</v>
      </c>
      <c r="S144">
        <v>0.32748538011695899</v>
      </c>
    </row>
    <row r="145" spans="1:19" x14ac:dyDescent="0.3">
      <c r="A145" s="1" t="s">
        <v>413</v>
      </c>
      <c r="B145" s="7">
        <f>MONTH(Clean_Sales[[#This Row],[Order_Date]])</f>
        <v>6</v>
      </c>
      <c r="C145" s="6">
        <v>46190</v>
      </c>
      <c r="D145" s="1" t="s">
        <v>318</v>
      </c>
      <c r="E145" s="1" t="s">
        <v>124</v>
      </c>
      <c r="F145" s="1" t="s">
        <v>17</v>
      </c>
      <c r="G145" s="1" t="s">
        <v>18</v>
      </c>
      <c r="H145" s="1" t="s">
        <v>74</v>
      </c>
      <c r="I145">
        <v>7</v>
      </c>
      <c r="J145">
        <v>25</v>
      </c>
      <c r="K145">
        <v>12</v>
      </c>
      <c r="L145">
        <v>0</v>
      </c>
      <c r="M145" s="1" t="s">
        <v>23</v>
      </c>
      <c r="N145" s="1" t="s">
        <v>36</v>
      </c>
      <c r="O145">
        <v>12</v>
      </c>
      <c r="P145">
        <v>175</v>
      </c>
      <c r="Q145">
        <v>84</v>
      </c>
      <c r="R145">
        <v>91</v>
      </c>
      <c r="S145">
        <v>0.52</v>
      </c>
    </row>
    <row r="146" spans="1:19" x14ac:dyDescent="0.3">
      <c r="A146" s="1" t="s">
        <v>414</v>
      </c>
      <c r="B146" s="7">
        <f>MONTH(Clean_Sales[[#This Row],[Order_Date]])</f>
        <v>4</v>
      </c>
      <c r="C146" s="6">
        <v>46136</v>
      </c>
      <c r="D146" s="1" t="s">
        <v>191</v>
      </c>
      <c r="E146" s="1" t="s">
        <v>50</v>
      </c>
      <c r="F146" s="1" t="s">
        <v>29</v>
      </c>
      <c r="G146" s="1" t="s">
        <v>30</v>
      </c>
      <c r="H146" s="1" t="s">
        <v>31</v>
      </c>
      <c r="I146">
        <v>2</v>
      </c>
      <c r="J146">
        <v>280</v>
      </c>
      <c r="K146">
        <v>190</v>
      </c>
      <c r="L146">
        <v>0.05</v>
      </c>
      <c r="M146" s="1" t="s">
        <v>46</v>
      </c>
      <c r="N146" s="1" t="s">
        <v>36</v>
      </c>
      <c r="O146">
        <v>190</v>
      </c>
      <c r="P146">
        <v>532</v>
      </c>
      <c r="Q146">
        <v>380</v>
      </c>
      <c r="R146">
        <v>152</v>
      </c>
      <c r="S146">
        <v>0.28571428571428598</v>
      </c>
    </row>
    <row r="147" spans="1:19" x14ac:dyDescent="0.3">
      <c r="A147" s="1" t="s">
        <v>415</v>
      </c>
      <c r="B147" s="7">
        <f>MONTH(Clean_Sales[[#This Row],[Order_Date]])</f>
        <v>3</v>
      </c>
      <c r="C147" s="6">
        <v>46108</v>
      </c>
      <c r="D147" s="1" t="s">
        <v>416</v>
      </c>
      <c r="E147" s="1" t="s">
        <v>59</v>
      </c>
      <c r="F147" s="1" t="s">
        <v>64</v>
      </c>
      <c r="G147" s="1" t="s">
        <v>65</v>
      </c>
      <c r="H147" s="1" t="s">
        <v>42</v>
      </c>
      <c r="I147">
        <v>8</v>
      </c>
      <c r="J147">
        <v>360</v>
      </c>
      <c r="K147">
        <v>250</v>
      </c>
      <c r="L147">
        <v>0</v>
      </c>
      <c r="M147" s="1" t="s">
        <v>23</v>
      </c>
      <c r="N147" s="1" t="s">
        <v>36</v>
      </c>
      <c r="O147">
        <v>250</v>
      </c>
      <c r="P147">
        <v>2880</v>
      </c>
      <c r="Q147">
        <v>2000</v>
      </c>
      <c r="R147">
        <v>880</v>
      </c>
      <c r="S147">
        <v>0.30555555555555602</v>
      </c>
    </row>
    <row r="148" spans="1:19" x14ac:dyDescent="0.3">
      <c r="A148" s="1" t="s">
        <v>421</v>
      </c>
      <c r="B148" s="7">
        <f>MONTH(Clean_Sales[[#This Row],[Order_Date]])</f>
        <v>4</v>
      </c>
      <c r="C148" s="6">
        <v>46125</v>
      </c>
      <c r="D148" s="1" t="s">
        <v>260</v>
      </c>
      <c r="E148" s="1" t="s">
        <v>28</v>
      </c>
      <c r="F148" s="1" t="s">
        <v>40</v>
      </c>
      <c r="G148" s="1" t="s">
        <v>41</v>
      </c>
      <c r="H148" s="1" t="s">
        <v>42</v>
      </c>
      <c r="I148">
        <v>2</v>
      </c>
      <c r="J148">
        <v>1250</v>
      </c>
      <c r="K148">
        <v>940</v>
      </c>
      <c r="L148">
        <v>0.15</v>
      </c>
      <c r="M148" s="1" t="s">
        <v>23</v>
      </c>
      <c r="N148" s="1" t="s">
        <v>36</v>
      </c>
      <c r="O148">
        <v>940</v>
      </c>
      <c r="P148">
        <v>2125</v>
      </c>
      <c r="Q148">
        <v>1880</v>
      </c>
      <c r="R148">
        <v>245</v>
      </c>
      <c r="S148">
        <v>0.11529411764705901</v>
      </c>
    </row>
    <row r="149" spans="1:19" x14ac:dyDescent="0.3">
      <c r="A149" s="1" t="s">
        <v>423</v>
      </c>
      <c r="B149" s="7">
        <f>MONTH(Clean_Sales[[#This Row],[Order_Date]])</f>
        <v>6</v>
      </c>
      <c r="C149" s="6">
        <v>46181</v>
      </c>
      <c r="D149" s="1" t="s">
        <v>425</v>
      </c>
      <c r="E149" s="1" t="s">
        <v>59</v>
      </c>
      <c r="F149" s="1" t="s">
        <v>17</v>
      </c>
      <c r="G149" s="1" t="s">
        <v>18</v>
      </c>
      <c r="H149" s="1" t="s">
        <v>74</v>
      </c>
      <c r="I149">
        <v>8</v>
      </c>
      <c r="J149">
        <v>25</v>
      </c>
      <c r="K149">
        <v>12</v>
      </c>
      <c r="L149">
        <v>0.05</v>
      </c>
      <c r="M149" s="1" t="s">
        <v>46</v>
      </c>
      <c r="N149" s="1" t="s">
        <v>36</v>
      </c>
      <c r="O149">
        <v>12</v>
      </c>
      <c r="P149">
        <v>190</v>
      </c>
      <c r="Q149">
        <v>96</v>
      </c>
      <c r="R149">
        <v>94</v>
      </c>
      <c r="S149">
        <v>0.49473684210526298</v>
      </c>
    </row>
    <row r="150" spans="1:19" x14ac:dyDescent="0.3">
      <c r="A150" s="1" t="s">
        <v>426</v>
      </c>
      <c r="B150" s="7">
        <f>MONTH(Clean_Sales[[#This Row],[Order_Date]])</f>
        <v>3</v>
      </c>
      <c r="C150" s="6">
        <v>46108</v>
      </c>
      <c r="D150" s="1" t="s">
        <v>120</v>
      </c>
      <c r="E150" s="1" t="s">
        <v>28</v>
      </c>
      <c r="F150" s="1" t="s">
        <v>40</v>
      </c>
      <c r="G150" s="1" t="s">
        <v>41</v>
      </c>
      <c r="H150" s="1" t="s">
        <v>42</v>
      </c>
      <c r="I150">
        <v>3</v>
      </c>
      <c r="J150">
        <v>1250</v>
      </c>
      <c r="K150">
        <v>940</v>
      </c>
      <c r="L150">
        <v>0.1</v>
      </c>
      <c r="M150" s="1" t="s">
        <v>23</v>
      </c>
      <c r="N150" s="1" t="s">
        <v>36</v>
      </c>
      <c r="O150">
        <v>940</v>
      </c>
      <c r="P150">
        <v>3375</v>
      </c>
      <c r="Q150">
        <v>2820</v>
      </c>
      <c r="R150">
        <v>555</v>
      </c>
      <c r="S150">
        <v>0.164444444444444</v>
      </c>
    </row>
    <row r="151" spans="1:19" x14ac:dyDescent="0.3">
      <c r="A151" s="1" t="s">
        <v>427</v>
      </c>
      <c r="B151" s="7">
        <f>MONTH(Clean_Sales[[#This Row],[Order_Date]])</f>
        <v>3</v>
      </c>
      <c r="C151" s="6">
        <v>46105</v>
      </c>
      <c r="D151" s="1" t="s">
        <v>145</v>
      </c>
      <c r="E151" s="1" t="s">
        <v>59</v>
      </c>
      <c r="F151" s="1" t="s">
        <v>29</v>
      </c>
      <c r="G151" s="1" t="s">
        <v>30</v>
      </c>
      <c r="H151" s="1" t="s">
        <v>31</v>
      </c>
      <c r="I151">
        <v>8</v>
      </c>
      <c r="J151">
        <v>280</v>
      </c>
      <c r="K151">
        <v>190</v>
      </c>
      <c r="L151">
        <v>0.1</v>
      </c>
      <c r="M151" s="1" t="s">
        <v>23</v>
      </c>
      <c r="N151" s="1" t="s">
        <v>36</v>
      </c>
      <c r="O151">
        <v>190</v>
      </c>
      <c r="P151">
        <v>2016</v>
      </c>
      <c r="Q151">
        <v>1520</v>
      </c>
      <c r="R151">
        <v>496</v>
      </c>
      <c r="S151">
        <v>0.24603174603174599</v>
      </c>
    </row>
    <row r="152" spans="1:19" x14ac:dyDescent="0.3">
      <c r="A152" s="1" t="s">
        <v>428</v>
      </c>
      <c r="B152" s="7">
        <f>MONTH(Clean_Sales[[#This Row],[Order_Date]])</f>
        <v>4</v>
      </c>
      <c r="C152" s="6">
        <v>46116</v>
      </c>
      <c r="D152" s="1" t="s">
        <v>279</v>
      </c>
      <c r="E152" s="1" t="s">
        <v>50</v>
      </c>
      <c r="F152" s="1" t="s">
        <v>64</v>
      </c>
      <c r="G152" s="1" t="s">
        <v>65</v>
      </c>
      <c r="H152" s="1" t="s">
        <v>42</v>
      </c>
      <c r="I152">
        <v>1</v>
      </c>
      <c r="J152">
        <v>360</v>
      </c>
      <c r="K152">
        <v>250</v>
      </c>
      <c r="L152">
        <v>0</v>
      </c>
      <c r="M152" s="1" t="s">
        <v>23</v>
      </c>
      <c r="N152" s="1" t="s">
        <v>36</v>
      </c>
      <c r="O152">
        <v>250</v>
      </c>
      <c r="P152">
        <v>360</v>
      </c>
      <c r="Q152">
        <v>250</v>
      </c>
      <c r="R152">
        <v>110</v>
      </c>
      <c r="S152">
        <v>0.30555555555555602</v>
      </c>
    </row>
    <row r="153" spans="1:19" x14ac:dyDescent="0.3">
      <c r="A153" s="1" t="s">
        <v>430</v>
      </c>
      <c r="B153" s="7">
        <f>MONTH(Clean_Sales[[#This Row],[Order_Date]])</f>
        <v>3</v>
      </c>
      <c r="C153" s="6">
        <v>46105</v>
      </c>
      <c r="D153" s="1" t="s">
        <v>39</v>
      </c>
      <c r="E153" s="1" t="s">
        <v>50</v>
      </c>
      <c r="F153" s="1" t="s">
        <v>72</v>
      </c>
      <c r="G153" s="1" t="s">
        <v>73</v>
      </c>
      <c r="H153" s="1" t="s">
        <v>74</v>
      </c>
      <c r="I153">
        <v>7</v>
      </c>
      <c r="J153">
        <v>65</v>
      </c>
      <c r="K153">
        <v>35</v>
      </c>
      <c r="L153">
        <v>0.1</v>
      </c>
      <c r="M153" s="1" t="s">
        <v>46</v>
      </c>
      <c r="N153" s="1" t="s">
        <v>36</v>
      </c>
      <c r="O153">
        <v>35</v>
      </c>
      <c r="P153">
        <v>409.5</v>
      </c>
      <c r="Q153">
        <v>245</v>
      </c>
      <c r="R153">
        <v>164.5</v>
      </c>
      <c r="S153">
        <v>0.401709401709402</v>
      </c>
    </row>
    <row r="154" spans="1:19" x14ac:dyDescent="0.3">
      <c r="A154" s="1" t="s">
        <v>432</v>
      </c>
      <c r="B154" s="7">
        <f>MONTH(Clean_Sales[[#This Row],[Order_Date]])</f>
        <v>5</v>
      </c>
      <c r="C154" s="6">
        <v>46163</v>
      </c>
      <c r="D154" s="1" t="s">
        <v>105</v>
      </c>
      <c r="E154" s="1" t="s">
        <v>124</v>
      </c>
      <c r="F154" s="1" t="s">
        <v>106</v>
      </c>
      <c r="G154" s="1" t="s">
        <v>107</v>
      </c>
      <c r="H154" s="1" t="s">
        <v>31</v>
      </c>
      <c r="I154">
        <v>2</v>
      </c>
      <c r="J154">
        <v>190</v>
      </c>
      <c r="K154">
        <v>115</v>
      </c>
      <c r="L154">
        <v>0.05</v>
      </c>
      <c r="M154" s="1" t="s">
        <v>46</v>
      </c>
      <c r="N154" s="1" t="s">
        <v>36</v>
      </c>
      <c r="O154">
        <v>115</v>
      </c>
      <c r="P154">
        <v>361</v>
      </c>
      <c r="Q154">
        <v>230</v>
      </c>
      <c r="R154">
        <v>131</v>
      </c>
      <c r="S154">
        <v>0.362880886426593</v>
      </c>
    </row>
    <row r="155" spans="1:19" x14ac:dyDescent="0.3">
      <c r="A155" s="1" t="s">
        <v>434</v>
      </c>
      <c r="B155" s="7">
        <f>MONTH(Clean_Sales[[#This Row],[Order_Date]])</f>
        <v>3</v>
      </c>
      <c r="C155" s="6">
        <v>46087</v>
      </c>
      <c r="D155" s="1" t="s">
        <v>191</v>
      </c>
      <c r="E155" s="1" t="s">
        <v>50</v>
      </c>
      <c r="F155" s="1" t="s">
        <v>17</v>
      </c>
      <c r="G155" s="1" t="s">
        <v>18</v>
      </c>
      <c r="H155" s="1" t="s">
        <v>74</v>
      </c>
      <c r="I155">
        <v>4</v>
      </c>
      <c r="J155">
        <v>25</v>
      </c>
      <c r="K155">
        <v>12</v>
      </c>
      <c r="L155">
        <v>0.05</v>
      </c>
      <c r="M155" s="1" t="s">
        <v>23</v>
      </c>
      <c r="N155" s="1" t="s">
        <v>36</v>
      </c>
      <c r="O155">
        <v>12</v>
      </c>
      <c r="P155">
        <v>95</v>
      </c>
      <c r="Q155">
        <v>48</v>
      </c>
      <c r="R155">
        <v>47</v>
      </c>
      <c r="S155">
        <v>0.49473684210526298</v>
      </c>
    </row>
    <row r="156" spans="1:19" x14ac:dyDescent="0.3">
      <c r="A156" s="1" t="s">
        <v>436</v>
      </c>
      <c r="B156" s="7">
        <f>MONTH(Clean_Sales[[#This Row],[Order_Date]])</f>
        <v>1</v>
      </c>
      <c r="C156" s="6">
        <v>46050</v>
      </c>
      <c r="D156" s="1" t="s">
        <v>284</v>
      </c>
      <c r="E156" s="1" t="s">
        <v>59</v>
      </c>
      <c r="F156" s="1" t="s">
        <v>64</v>
      </c>
      <c r="G156" s="1" t="s">
        <v>65</v>
      </c>
      <c r="H156" s="1" t="s">
        <v>42</v>
      </c>
      <c r="I156">
        <v>4</v>
      </c>
      <c r="J156">
        <v>360</v>
      </c>
      <c r="K156">
        <v>250</v>
      </c>
      <c r="L156">
        <v>0.15</v>
      </c>
      <c r="M156" s="1" t="s">
        <v>46</v>
      </c>
      <c r="N156" s="1" t="s">
        <v>36</v>
      </c>
      <c r="O156">
        <v>250</v>
      </c>
      <c r="P156">
        <v>1224</v>
      </c>
      <c r="Q156">
        <v>1000</v>
      </c>
      <c r="R156">
        <v>224</v>
      </c>
      <c r="S156">
        <v>0.18300653594771199</v>
      </c>
    </row>
    <row r="157" spans="1:19" x14ac:dyDescent="0.3">
      <c r="A157" s="1" t="s">
        <v>437</v>
      </c>
      <c r="B157" s="7">
        <f>MONTH(Clean_Sales[[#This Row],[Order_Date]])</f>
        <v>6</v>
      </c>
      <c r="C157" s="6">
        <v>46203</v>
      </c>
      <c r="D157" s="1" t="s">
        <v>371</v>
      </c>
      <c r="E157" s="1" t="s">
        <v>124</v>
      </c>
      <c r="F157" s="1" t="s">
        <v>72</v>
      </c>
      <c r="G157" s="1" t="s">
        <v>73</v>
      </c>
      <c r="H157" s="1" t="s">
        <v>74</v>
      </c>
      <c r="I157">
        <v>4</v>
      </c>
      <c r="J157">
        <v>65</v>
      </c>
      <c r="K157">
        <v>35</v>
      </c>
      <c r="L157">
        <v>0.1</v>
      </c>
      <c r="M157" s="1" t="s">
        <v>46</v>
      </c>
      <c r="N157" s="1" t="s">
        <v>36</v>
      </c>
      <c r="O157">
        <v>35</v>
      </c>
      <c r="P157">
        <v>234</v>
      </c>
      <c r="Q157">
        <v>140</v>
      </c>
      <c r="R157">
        <v>94</v>
      </c>
      <c r="S157">
        <v>0.401709401709402</v>
      </c>
    </row>
    <row r="158" spans="1:19" x14ac:dyDescent="0.3">
      <c r="A158" s="1" t="s">
        <v>439</v>
      </c>
      <c r="B158" s="7">
        <f>MONTH(Clean_Sales[[#This Row],[Order_Date]])</f>
        <v>3</v>
      </c>
      <c r="C158" s="6">
        <v>46102</v>
      </c>
      <c r="D158" s="1" t="s">
        <v>111</v>
      </c>
      <c r="E158" s="1" t="s">
        <v>28</v>
      </c>
      <c r="F158" s="1" t="s">
        <v>106</v>
      </c>
      <c r="G158" s="1" t="s">
        <v>107</v>
      </c>
      <c r="H158" s="1" t="s">
        <v>31</v>
      </c>
      <c r="I158">
        <v>8</v>
      </c>
      <c r="J158">
        <v>190</v>
      </c>
      <c r="K158">
        <v>115</v>
      </c>
      <c r="L158">
        <v>0</v>
      </c>
      <c r="M158" s="1" t="s">
        <v>23</v>
      </c>
      <c r="N158" s="1" t="s">
        <v>36</v>
      </c>
      <c r="O158">
        <v>115</v>
      </c>
      <c r="P158">
        <v>1520</v>
      </c>
      <c r="Q158">
        <v>920</v>
      </c>
      <c r="R158">
        <v>600</v>
      </c>
      <c r="S158">
        <v>0.394736842105263</v>
      </c>
    </row>
    <row r="159" spans="1:19" x14ac:dyDescent="0.3">
      <c r="A159" s="1" t="s">
        <v>441</v>
      </c>
      <c r="B159" s="7">
        <f>MONTH(Clean_Sales[[#This Row],[Order_Date]])</f>
        <v>4</v>
      </c>
      <c r="C159" s="6">
        <v>46140</v>
      </c>
      <c r="D159" s="1" t="s">
        <v>327</v>
      </c>
      <c r="E159" s="1" t="s">
        <v>50</v>
      </c>
      <c r="F159" s="1" t="s">
        <v>17</v>
      </c>
      <c r="G159" s="1" t="s">
        <v>18</v>
      </c>
      <c r="H159" s="1" t="s">
        <v>74</v>
      </c>
      <c r="I159">
        <v>2</v>
      </c>
      <c r="J159">
        <v>25</v>
      </c>
      <c r="K159">
        <v>12</v>
      </c>
      <c r="L159">
        <v>0.1</v>
      </c>
      <c r="M159" s="1" t="s">
        <v>23</v>
      </c>
      <c r="N159" s="1" t="s">
        <v>36</v>
      </c>
      <c r="O159">
        <v>12</v>
      </c>
      <c r="P159">
        <v>45</v>
      </c>
      <c r="Q159">
        <v>24</v>
      </c>
      <c r="R159">
        <v>21</v>
      </c>
      <c r="S159">
        <v>0.46666666666666701</v>
      </c>
    </row>
    <row r="160" spans="1:19" x14ac:dyDescent="0.3">
      <c r="A160" s="1" t="s">
        <v>442</v>
      </c>
      <c r="B160" s="7">
        <f>MONTH(Clean_Sales[[#This Row],[Order_Date]])</f>
        <v>3</v>
      </c>
      <c r="C160" s="6">
        <v>46093</v>
      </c>
      <c r="D160" s="1" t="s">
        <v>15</v>
      </c>
      <c r="E160" s="1" t="s">
        <v>28</v>
      </c>
      <c r="F160" s="1" t="s">
        <v>51</v>
      </c>
      <c r="G160" s="1" t="s">
        <v>52</v>
      </c>
      <c r="H160" s="1" t="s">
        <v>42</v>
      </c>
      <c r="I160">
        <v>5</v>
      </c>
      <c r="J160">
        <v>310</v>
      </c>
      <c r="K160">
        <v>220</v>
      </c>
      <c r="L160">
        <v>0.15</v>
      </c>
      <c r="M160" s="1" t="s">
        <v>46</v>
      </c>
      <c r="N160" s="1" t="s">
        <v>36</v>
      </c>
      <c r="O160">
        <v>220</v>
      </c>
      <c r="P160">
        <v>1317.5</v>
      </c>
      <c r="Q160">
        <v>1100</v>
      </c>
      <c r="R160">
        <v>217.5</v>
      </c>
      <c r="S160">
        <v>0.165085388994307</v>
      </c>
    </row>
    <row r="161" spans="1:19" x14ac:dyDescent="0.3">
      <c r="A161" s="1" t="s">
        <v>443</v>
      </c>
      <c r="B161" s="7">
        <f>MONTH(Clean_Sales[[#This Row],[Order_Date]])</f>
        <v>1</v>
      </c>
      <c r="C161" s="6">
        <v>46033</v>
      </c>
      <c r="D161" s="1" t="s">
        <v>333</v>
      </c>
      <c r="E161" s="1" t="s">
        <v>28</v>
      </c>
      <c r="F161" s="1" t="s">
        <v>72</v>
      </c>
      <c r="G161" s="1" t="s">
        <v>73</v>
      </c>
      <c r="H161" s="1" t="s">
        <v>74</v>
      </c>
      <c r="I161">
        <v>7</v>
      </c>
      <c r="J161">
        <v>65</v>
      </c>
      <c r="K161">
        <v>35</v>
      </c>
      <c r="L161">
        <v>0</v>
      </c>
      <c r="M161" s="1" t="s">
        <v>46</v>
      </c>
      <c r="N161" s="1" t="s">
        <v>36</v>
      </c>
      <c r="O161">
        <v>35</v>
      </c>
      <c r="P161">
        <v>455</v>
      </c>
      <c r="Q161">
        <v>245</v>
      </c>
      <c r="R161">
        <v>210</v>
      </c>
      <c r="S161">
        <v>0.46153846153846201</v>
      </c>
    </row>
    <row r="162" spans="1:19" x14ac:dyDescent="0.3">
      <c r="A162" s="1" t="s">
        <v>444</v>
      </c>
      <c r="B162" s="7">
        <f>MONTH(Clean_Sales[[#This Row],[Order_Date]])</f>
        <v>5</v>
      </c>
      <c r="C162" s="6">
        <v>46162</v>
      </c>
      <c r="D162" s="1" t="s">
        <v>446</v>
      </c>
      <c r="E162" s="1" t="s">
        <v>50</v>
      </c>
      <c r="F162" s="1" t="s">
        <v>89</v>
      </c>
      <c r="G162" s="1" t="s">
        <v>90</v>
      </c>
      <c r="H162" s="1" t="s">
        <v>74</v>
      </c>
      <c r="I162">
        <v>1</v>
      </c>
      <c r="J162">
        <v>85</v>
      </c>
      <c r="K162">
        <v>48</v>
      </c>
      <c r="L162">
        <v>0.1</v>
      </c>
      <c r="M162" s="1" t="s">
        <v>23</v>
      </c>
      <c r="N162" s="1" t="s">
        <v>36</v>
      </c>
      <c r="O162">
        <v>48</v>
      </c>
      <c r="P162">
        <v>76.5</v>
      </c>
      <c r="Q162">
        <v>48</v>
      </c>
      <c r="R162">
        <v>28.5</v>
      </c>
      <c r="S162">
        <v>0.37254901960784298</v>
      </c>
    </row>
    <row r="163" spans="1:19" x14ac:dyDescent="0.3">
      <c r="A163" s="1" t="s">
        <v>447</v>
      </c>
      <c r="B163" s="7">
        <f>MONTH(Clean_Sales[[#This Row],[Order_Date]])</f>
        <v>4</v>
      </c>
      <c r="C163" s="6">
        <v>46117</v>
      </c>
      <c r="D163" s="1" t="s">
        <v>232</v>
      </c>
      <c r="E163" s="1" t="s">
        <v>50</v>
      </c>
      <c r="F163" s="1" t="s">
        <v>29</v>
      </c>
      <c r="G163" s="1" t="s">
        <v>30</v>
      </c>
      <c r="H163" s="1" t="s">
        <v>31</v>
      </c>
      <c r="I163">
        <v>4</v>
      </c>
      <c r="J163">
        <v>280</v>
      </c>
      <c r="K163">
        <v>190</v>
      </c>
      <c r="L163">
        <v>0.15</v>
      </c>
      <c r="M163" s="1" t="s">
        <v>23</v>
      </c>
      <c r="N163" s="1" t="s">
        <v>36</v>
      </c>
      <c r="O163">
        <v>190</v>
      </c>
      <c r="P163">
        <v>952</v>
      </c>
      <c r="Q163">
        <v>760</v>
      </c>
      <c r="R163">
        <v>192</v>
      </c>
      <c r="S163">
        <v>0.20168067226890801</v>
      </c>
    </row>
    <row r="164" spans="1:19" x14ac:dyDescent="0.3">
      <c r="A164" s="1" t="s">
        <v>449</v>
      </c>
      <c r="B164" s="7">
        <f>MONTH(Clean_Sales[[#This Row],[Order_Date]])</f>
        <v>3</v>
      </c>
      <c r="C164" s="6">
        <v>46099</v>
      </c>
      <c r="D164" s="1" t="s">
        <v>222</v>
      </c>
      <c r="E164" s="1" t="s">
        <v>28</v>
      </c>
      <c r="F164" s="1" t="s">
        <v>17</v>
      </c>
      <c r="G164" s="1" t="s">
        <v>18</v>
      </c>
      <c r="H164" s="1" t="s">
        <v>74</v>
      </c>
      <c r="I164">
        <v>3</v>
      </c>
      <c r="J164">
        <v>25</v>
      </c>
      <c r="K164">
        <v>12</v>
      </c>
      <c r="L164">
        <v>0.15</v>
      </c>
      <c r="M164" s="1" t="s">
        <v>46</v>
      </c>
      <c r="N164" s="1" t="s">
        <v>36</v>
      </c>
      <c r="O164">
        <v>12</v>
      </c>
      <c r="P164">
        <v>63.75</v>
      </c>
      <c r="Q164">
        <v>36</v>
      </c>
      <c r="R164">
        <v>27.75</v>
      </c>
      <c r="S164">
        <v>0.435294117647059</v>
      </c>
    </row>
    <row r="165" spans="1:19" x14ac:dyDescent="0.3">
      <c r="A165" s="1" t="s">
        <v>450</v>
      </c>
      <c r="B165" s="7">
        <f>MONTH(Clean_Sales[[#This Row],[Order_Date]])</f>
        <v>6</v>
      </c>
      <c r="C165" s="6">
        <v>46195</v>
      </c>
      <c r="D165" s="1" t="s">
        <v>451</v>
      </c>
      <c r="E165" s="1" t="s">
        <v>59</v>
      </c>
      <c r="F165" s="1" t="s">
        <v>51</v>
      </c>
      <c r="G165" s="1" t="s">
        <v>52</v>
      </c>
      <c r="H165" s="1" t="s">
        <v>42</v>
      </c>
      <c r="I165">
        <v>8</v>
      </c>
      <c r="J165">
        <v>310</v>
      </c>
      <c r="K165">
        <v>220</v>
      </c>
      <c r="L165">
        <v>0.15</v>
      </c>
      <c r="M165" s="1" t="s">
        <v>23</v>
      </c>
      <c r="N165" s="1" t="s">
        <v>36</v>
      </c>
      <c r="O165">
        <v>220</v>
      </c>
      <c r="P165">
        <v>2108</v>
      </c>
      <c r="Q165">
        <v>1760</v>
      </c>
      <c r="R165">
        <v>348</v>
      </c>
      <c r="S165">
        <v>0.165085388994307</v>
      </c>
    </row>
    <row r="166" spans="1:19" x14ac:dyDescent="0.3">
      <c r="A166" s="1" t="s">
        <v>452</v>
      </c>
      <c r="B166" s="7">
        <f>MONTH(Clean_Sales[[#This Row],[Order_Date]])</f>
        <v>3</v>
      </c>
      <c r="C166" s="6">
        <v>46084</v>
      </c>
      <c r="D166" s="1" t="s">
        <v>454</v>
      </c>
      <c r="E166" s="1" t="s">
        <v>124</v>
      </c>
      <c r="F166" s="1" t="s">
        <v>106</v>
      </c>
      <c r="G166" s="1" t="s">
        <v>107</v>
      </c>
      <c r="H166" s="1" t="s">
        <v>31</v>
      </c>
      <c r="I166">
        <v>2</v>
      </c>
      <c r="J166">
        <v>190</v>
      </c>
      <c r="K166">
        <v>115</v>
      </c>
      <c r="L166">
        <v>0.05</v>
      </c>
      <c r="M166" s="1" t="s">
        <v>23</v>
      </c>
      <c r="N166" s="1" t="s">
        <v>36</v>
      </c>
      <c r="O166">
        <v>115</v>
      </c>
      <c r="P166">
        <v>361</v>
      </c>
      <c r="Q166">
        <v>230</v>
      </c>
      <c r="R166">
        <v>131</v>
      </c>
      <c r="S166">
        <v>0.362880886426593</v>
      </c>
    </row>
    <row r="167" spans="1:19" x14ac:dyDescent="0.3">
      <c r="A167" s="1" t="s">
        <v>455</v>
      </c>
      <c r="B167" s="7">
        <f>MONTH(Clean_Sales[[#This Row],[Order_Date]])</f>
        <v>6</v>
      </c>
      <c r="C167" s="6">
        <v>46192</v>
      </c>
      <c r="D167" s="1" t="s">
        <v>305</v>
      </c>
      <c r="E167" s="1" t="s">
        <v>50</v>
      </c>
      <c r="F167" s="1" t="s">
        <v>17</v>
      </c>
      <c r="G167" s="1" t="s">
        <v>18</v>
      </c>
      <c r="H167" s="1" t="s">
        <v>74</v>
      </c>
      <c r="I167">
        <v>5</v>
      </c>
      <c r="J167">
        <v>25</v>
      </c>
      <c r="K167">
        <v>12</v>
      </c>
      <c r="L167">
        <v>0.1</v>
      </c>
      <c r="M167" s="1" t="s">
        <v>46</v>
      </c>
      <c r="N167" s="1" t="s">
        <v>36</v>
      </c>
      <c r="O167">
        <v>12</v>
      </c>
      <c r="P167">
        <v>112.5</v>
      </c>
      <c r="Q167">
        <v>60</v>
      </c>
      <c r="R167">
        <v>52.5</v>
      </c>
      <c r="S167">
        <v>0.46666666666666701</v>
      </c>
    </row>
    <row r="168" spans="1:19" x14ac:dyDescent="0.3">
      <c r="A168" s="1" t="s">
        <v>457</v>
      </c>
      <c r="B168" s="7">
        <f>MONTH(Clean_Sales[[#This Row],[Order_Date]])</f>
        <v>5</v>
      </c>
      <c r="C168" s="6">
        <v>46151</v>
      </c>
      <c r="D168" s="1" t="s">
        <v>232</v>
      </c>
      <c r="E168" s="1" t="s">
        <v>124</v>
      </c>
      <c r="F168" s="1" t="s">
        <v>40</v>
      </c>
      <c r="G168" s="1" t="s">
        <v>41</v>
      </c>
      <c r="H168" s="1" t="s">
        <v>42</v>
      </c>
      <c r="I168">
        <v>1</v>
      </c>
      <c r="J168">
        <v>1250</v>
      </c>
      <c r="K168">
        <v>940</v>
      </c>
      <c r="L168">
        <v>0.05</v>
      </c>
      <c r="M168" s="1" t="s">
        <v>46</v>
      </c>
      <c r="N168" s="1" t="s">
        <v>36</v>
      </c>
      <c r="O168">
        <v>940</v>
      </c>
      <c r="P168">
        <v>1187.5</v>
      </c>
      <c r="Q168">
        <v>940</v>
      </c>
      <c r="R168">
        <v>247.5</v>
      </c>
      <c r="S168">
        <v>0.20842105263157901</v>
      </c>
    </row>
    <row r="169" spans="1:19" x14ac:dyDescent="0.3">
      <c r="A169" s="1" t="s">
        <v>458</v>
      </c>
      <c r="B169" s="7">
        <f>MONTH(Clean_Sales[[#This Row],[Order_Date]])</f>
        <v>5</v>
      </c>
      <c r="C169" s="6">
        <v>46163</v>
      </c>
      <c r="D169" s="1" t="s">
        <v>175</v>
      </c>
      <c r="E169" s="1" t="s">
        <v>50</v>
      </c>
      <c r="F169" s="1" t="s">
        <v>29</v>
      </c>
      <c r="G169" s="1" t="s">
        <v>30</v>
      </c>
      <c r="H169" s="1" t="s">
        <v>31</v>
      </c>
      <c r="I169">
        <v>7</v>
      </c>
      <c r="J169">
        <v>280</v>
      </c>
      <c r="K169">
        <v>190</v>
      </c>
      <c r="L169">
        <v>0.1</v>
      </c>
      <c r="M169" s="1" t="s">
        <v>46</v>
      </c>
      <c r="N169" s="1" t="s">
        <v>36</v>
      </c>
      <c r="O169">
        <v>190</v>
      </c>
      <c r="P169">
        <v>1764</v>
      </c>
      <c r="Q169">
        <v>1330</v>
      </c>
      <c r="R169">
        <v>434</v>
      </c>
      <c r="S169">
        <v>0.24603174603174599</v>
      </c>
    </row>
    <row r="170" spans="1:19" x14ac:dyDescent="0.3">
      <c r="A170" s="1" t="s">
        <v>459</v>
      </c>
      <c r="B170" s="7">
        <f>MONTH(Clean_Sales[[#This Row],[Order_Date]])</f>
        <v>6</v>
      </c>
      <c r="C170" s="6">
        <v>46202</v>
      </c>
      <c r="D170" s="1" t="s">
        <v>454</v>
      </c>
      <c r="E170" s="1" t="s">
        <v>59</v>
      </c>
      <c r="F170" s="1" t="s">
        <v>89</v>
      </c>
      <c r="G170" s="1" t="s">
        <v>90</v>
      </c>
      <c r="H170" s="1" t="s">
        <v>74</v>
      </c>
      <c r="I170">
        <v>7</v>
      </c>
      <c r="J170">
        <v>85</v>
      </c>
      <c r="K170">
        <v>48</v>
      </c>
      <c r="L170">
        <v>0.1</v>
      </c>
      <c r="M170" s="1" t="s">
        <v>46</v>
      </c>
      <c r="N170" s="1" t="s">
        <v>36</v>
      </c>
      <c r="O170">
        <v>48</v>
      </c>
      <c r="P170">
        <v>535.5</v>
      </c>
      <c r="Q170">
        <v>336</v>
      </c>
      <c r="R170">
        <v>199.5</v>
      </c>
      <c r="S170">
        <v>0.37254901960784298</v>
      </c>
    </row>
    <row r="171" spans="1:19" x14ac:dyDescent="0.3">
      <c r="A171" s="1" t="s">
        <v>460</v>
      </c>
      <c r="B171" s="7">
        <f>MONTH(Clean_Sales[[#This Row],[Order_Date]])</f>
        <v>4</v>
      </c>
      <c r="C171" s="6">
        <v>46131</v>
      </c>
      <c r="D171" s="1" t="s">
        <v>462</v>
      </c>
      <c r="E171" s="1" t="s">
        <v>59</v>
      </c>
      <c r="F171" s="1" t="s">
        <v>40</v>
      </c>
      <c r="G171" s="1" t="s">
        <v>41</v>
      </c>
      <c r="H171" s="1" t="s">
        <v>42</v>
      </c>
      <c r="I171">
        <v>7</v>
      </c>
      <c r="J171">
        <v>1250</v>
      </c>
      <c r="K171">
        <v>940</v>
      </c>
      <c r="L171">
        <v>0</v>
      </c>
      <c r="M171" s="1" t="s">
        <v>23</v>
      </c>
      <c r="N171" s="1" t="s">
        <v>36</v>
      </c>
      <c r="O171">
        <v>940</v>
      </c>
      <c r="P171">
        <v>8750</v>
      </c>
      <c r="Q171">
        <v>6580</v>
      </c>
      <c r="R171">
        <v>2170</v>
      </c>
      <c r="S171">
        <v>0.248</v>
      </c>
    </row>
    <row r="172" spans="1:19" x14ac:dyDescent="0.3">
      <c r="A172" s="1" t="s">
        <v>463</v>
      </c>
      <c r="B172" s="7">
        <f>MONTH(Clean_Sales[[#This Row],[Order_Date]])</f>
        <v>6</v>
      </c>
      <c r="C172" s="6">
        <v>46199</v>
      </c>
      <c r="D172" s="1" t="s">
        <v>425</v>
      </c>
      <c r="E172" s="1" t="s">
        <v>59</v>
      </c>
      <c r="F172" s="1" t="s">
        <v>72</v>
      </c>
      <c r="G172" s="1" t="s">
        <v>73</v>
      </c>
      <c r="H172" s="1" t="s">
        <v>74</v>
      </c>
      <c r="I172">
        <v>7</v>
      </c>
      <c r="J172">
        <v>65</v>
      </c>
      <c r="L172">
        <v>0.1</v>
      </c>
      <c r="M172" s="1" t="s">
        <v>23</v>
      </c>
      <c r="N172" s="1" t="s">
        <v>36</v>
      </c>
      <c r="O172">
        <v>35</v>
      </c>
      <c r="P172">
        <v>409.5</v>
      </c>
      <c r="Q172">
        <v>245</v>
      </c>
      <c r="R172">
        <v>164.5</v>
      </c>
      <c r="S172">
        <v>0.401709401709402</v>
      </c>
    </row>
    <row r="173" spans="1:19" x14ac:dyDescent="0.3">
      <c r="A173" s="1" t="s">
        <v>464</v>
      </c>
      <c r="B173" s="7">
        <f>MONTH(Clean_Sales[[#This Row],[Order_Date]])</f>
        <v>3</v>
      </c>
      <c r="C173" s="6">
        <v>46091</v>
      </c>
      <c r="D173" s="1" t="s">
        <v>194</v>
      </c>
      <c r="E173" s="1" t="s">
        <v>28</v>
      </c>
      <c r="F173" s="1" t="s">
        <v>40</v>
      </c>
      <c r="G173" s="1" t="s">
        <v>41</v>
      </c>
      <c r="H173" s="1" t="s">
        <v>42</v>
      </c>
      <c r="I173">
        <v>8</v>
      </c>
      <c r="J173">
        <v>1250</v>
      </c>
      <c r="K173">
        <v>940</v>
      </c>
      <c r="L173">
        <v>0.15</v>
      </c>
      <c r="M173" s="1" t="s">
        <v>23</v>
      </c>
      <c r="N173" s="1" t="s">
        <v>36</v>
      </c>
      <c r="O173">
        <v>940</v>
      </c>
      <c r="P173">
        <v>8500</v>
      </c>
      <c r="Q173">
        <v>7520</v>
      </c>
      <c r="R173">
        <v>980</v>
      </c>
      <c r="S173">
        <v>0.11529411764705901</v>
      </c>
    </row>
    <row r="174" spans="1:19" x14ac:dyDescent="0.3">
      <c r="A174" s="1" t="s">
        <v>465</v>
      </c>
      <c r="B174" s="7">
        <f>MONTH(Clean_Sales[[#This Row],[Order_Date]])</f>
        <v>5</v>
      </c>
      <c r="C174" s="6">
        <v>46173</v>
      </c>
      <c r="D174" s="1" t="s">
        <v>216</v>
      </c>
      <c r="E174" s="1" t="s">
        <v>124</v>
      </c>
      <c r="F174" s="1" t="s">
        <v>29</v>
      </c>
      <c r="G174" s="1" t="s">
        <v>30</v>
      </c>
      <c r="H174" s="1" t="s">
        <v>31</v>
      </c>
      <c r="I174">
        <v>2</v>
      </c>
      <c r="J174">
        <v>280</v>
      </c>
      <c r="K174">
        <v>190</v>
      </c>
      <c r="L174">
        <v>0.05</v>
      </c>
      <c r="M174" s="1" t="s">
        <v>23</v>
      </c>
      <c r="N174" s="1" t="s">
        <v>36</v>
      </c>
      <c r="O174">
        <v>190</v>
      </c>
      <c r="P174">
        <v>532</v>
      </c>
      <c r="Q174">
        <v>380</v>
      </c>
      <c r="R174">
        <v>152</v>
      </c>
      <c r="S174">
        <v>0.28571428571428598</v>
      </c>
    </row>
    <row r="175" spans="1:19" x14ac:dyDescent="0.3">
      <c r="A175" s="1" t="s">
        <v>466</v>
      </c>
      <c r="B175" s="7">
        <f>MONTH(Clean_Sales[[#This Row],[Order_Date]])</f>
        <v>1</v>
      </c>
      <c r="C175" s="6">
        <v>46024</v>
      </c>
      <c r="D175" s="1" t="s">
        <v>120</v>
      </c>
      <c r="E175" s="1" t="s">
        <v>50</v>
      </c>
      <c r="F175" s="1" t="s">
        <v>64</v>
      </c>
      <c r="G175" s="1" t="s">
        <v>65</v>
      </c>
      <c r="H175" s="1" t="s">
        <v>42</v>
      </c>
      <c r="I175">
        <v>8</v>
      </c>
      <c r="J175">
        <v>360</v>
      </c>
      <c r="K175">
        <v>250</v>
      </c>
      <c r="L175">
        <v>0.15</v>
      </c>
      <c r="M175" s="1" t="s">
        <v>46</v>
      </c>
      <c r="N175" s="1" t="s">
        <v>36</v>
      </c>
      <c r="O175">
        <v>250</v>
      </c>
      <c r="P175">
        <v>2448</v>
      </c>
      <c r="Q175">
        <v>2000</v>
      </c>
      <c r="R175">
        <v>448</v>
      </c>
      <c r="S175">
        <v>0.18300653594771199</v>
      </c>
    </row>
    <row r="176" spans="1:19" x14ac:dyDescent="0.3">
      <c r="A176" s="1" t="s">
        <v>469</v>
      </c>
      <c r="B176" s="7">
        <f>MONTH(Clean_Sales[[#This Row],[Order_Date]])</f>
        <v>3</v>
      </c>
      <c r="C176" s="6">
        <v>46090</v>
      </c>
      <c r="D176" s="1" t="s">
        <v>145</v>
      </c>
      <c r="E176" s="1" t="s">
        <v>50</v>
      </c>
      <c r="F176" s="1" t="s">
        <v>64</v>
      </c>
      <c r="G176" s="1" t="s">
        <v>65</v>
      </c>
      <c r="H176" s="1" t="s">
        <v>42</v>
      </c>
      <c r="I176">
        <v>4</v>
      </c>
      <c r="J176">
        <v>360</v>
      </c>
      <c r="K176">
        <v>250</v>
      </c>
      <c r="L176">
        <v>0.05</v>
      </c>
      <c r="M176" s="1" t="s">
        <v>23</v>
      </c>
      <c r="N176" s="1" t="s">
        <v>36</v>
      </c>
      <c r="O176">
        <v>250</v>
      </c>
      <c r="P176">
        <v>1368</v>
      </c>
      <c r="Q176">
        <v>1000</v>
      </c>
      <c r="R176">
        <v>368</v>
      </c>
      <c r="S176">
        <v>0.26900584795321603</v>
      </c>
    </row>
    <row r="177" spans="1:19" x14ac:dyDescent="0.3">
      <c r="A177" s="1" t="s">
        <v>471</v>
      </c>
      <c r="B177" s="7">
        <f>MONTH(Clean_Sales[[#This Row],[Order_Date]])</f>
        <v>2</v>
      </c>
      <c r="C177" s="6">
        <v>46064</v>
      </c>
      <c r="D177" s="1" t="s">
        <v>96</v>
      </c>
      <c r="E177" s="1" t="s">
        <v>28</v>
      </c>
      <c r="F177" s="1" t="s">
        <v>89</v>
      </c>
      <c r="G177" s="1" t="s">
        <v>90</v>
      </c>
      <c r="H177" s="1" t="s">
        <v>74</v>
      </c>
      <c r="I177">
        <v>7</v>
      </c>
      <c r="J177">
        <v>85</v>
      </c>
      <c r="K177">
        <v>48</v>
      </c>
      <c r="L177">
        <v>0</v>
      </c>
      <c r="M177" s="1" t="s">
        <v>23</v>
      </c>
      <c r="N177" s="1" t="s">
        <v>36</v>
      </c>
      <c r="O177">
        <v>48</v>
      </c>
      <c r="P177">
        <v>595</v>
      </c>
      <c r="Q177">
        <v>336</v>
      </c>
      <c r="R177">
        <v>259</v>
      </c>
      <c r="S177">
        <v>0.435294117647059</v>
      </c>
    </row>
    <row r="178" spans="1:19" x14ac:dyDescent="0.3">
      <c r="A178" s="1" t="s">
        <v>472</v>
      </c>
      <c r="B178" s="7">
        <f>MONTH(Clean_Sales[[#This Row],[Order_Date]])</f>
        <v>3</v>
      </c>
      <c r="C178" s="6">
        <v>46095</v>
      </c>
      <c r="D178" s="1" t="s">
        <v>148</v>
      </c>
      <c r="E178" s="1" t="s">
        <v>50</v>
      </c>
      <c r="F178" s="1" t="s">
        <v>40</v>
      </c>
      <c r="G178" s="1" t="s">
        <v>41</v>
      </c>
      <c r="H178" s="1" t="s">
        <v>42</v>
      </c>
      <c r="I178">
        <v>3</v>
      </c>
      <c r="J178">
        <v>1250</v>
      </c>
      <c r="K178">
        <v>940</v>
      </c>
      <c r="L178">
        <v>0.1</v>
      </c>
      <c r="M178" s="1" t="s">
        <v>46</v>
      </c>
      <c r="N178" s="1" t="s">
        <v>36</v>
      </c>
      <c r="O178">
        <v>940</v>
      </c>
      <c r="P178">
        <v>3375</v>
      </c>
      <c r="Q178">
        <v>2820</v>
      </c>
      <c r="R178">
        <v>555</v>
      </c>
      <c r="S178">
        <v>0.164444444444444</v>
      </c>
    </row>
    <row r="179" spans="1:19" x14ac:dyDescent="0.3">
      <c r="A179" s="1" t="s">
        <v>474</v>
      </c>
      <c r="B179" s="7">
        <f>MONTH(Clean_Sales[[#This Row],[Order_Date]])</f>
        <v>4</v>
      </c>
      <c r="C179" s="6">
        <v>46140</v>
      </c>
      <c r="D179" s="1" t="s">
        <v>475</v>
      </c>
      <c r="E179" s="1" t="s">
        <v>124</v>
      </c>
      <c r="F179" s="1" t="s">
        <v>106</v>
      </c>
      <c r="G179" s="1" t="s">
        <v>107</v>
      </c>
      <c r="H179" s="1" t="s">
        <v>31</v>
      </c>
      <c r="I179">
        <v>4</v>
      </c>
      <c r="J179">
        <v>190</v>
      </c>
      <c r="K179">
        <v>115</v>
      </c>
      <c r="L179">
        <v>0.05</v>
      </c>
      <c r="M179" s="1" t="s">
        <v>46</v>
      </c>
      <c r="N179" s="1" t="s">
        <v>36</v>
      </c>
      <c r="O179">
        <v>115</v>
      </c>
      <c r="P179">
        <v>722</v>
      </c>
      <c r="Q179">
        <v>460</v>
      </c>
      <c r="R179">
        <v>262</v>
      </c>
      <c r="S179">
        <v>0.362880886426593</v>
      </c>
    </row>
    <row r="180" spans="1:19" x14ac:dyDescent="0.3">
      <c r="A180" s="1" t="s">
        <v>476</v>
      </c>
      <c r="B180" s="7">
        <f>MONTH(Clean_Sales[[#This Row],[Order_Date]])</f>
        <v>1</v>
      </c>
      <c r="C180" s="6">
        <v>46048</v>
      </c>
      <c r="D180" s="1" t="s">
        <v>478</v>
      </c>
      <c r="E180" s="1" t="s">
        <v>28</v>
      </c>
      <c r="F180" s="1" t="s">
        <v>29</v>
      </c>
      <c r="G180" s="1" t="s">
        <v>30</v>
      </c>
      <c r="H180" s="1" t="s">
        <v>31</v>
      </c>
      <c r="I180">
        <v>7</v>
      </c>
      <c r="J180">
        <v>280</v>
      </c>
      <c r="K180">
        <v>190</v>
      </c>
      <c r="L180">
        <v>0.15</v>
      </c>
      <c r="M180" s="1" t="s">
        <v>46</v>
      </c>
      <c r="N180" s="1" t="s">
        <v>36</v>
      </c>
      <c r="O180">
        <v>190</v>
      </c>
      <c r="P180">
        <v>1666</v>
      </c>
      <c r="Q180">
        <v>1330</v>
      </c>
      <c r="R180">
        <v>336</v>
      </c>
      <c r="S180">
        <v>0.20168067226890801</v>
      </c>
    </row>
    <row r="181" spans="1:19" x14ac:dyDescent="0.3">
      <c r="A181" s="1" t="s">
        <v>479</v>
      </c>
      <c r="B181" s="7">
        <f>MONTH(Clean_Sales[[#This Row],[Order_Date]])</f>
        <v>5</v>
      </c>
      <c r="C181" s="6">
        <v>46171</v>
      </c>
      <c r="D181" s="1" t="s">
        <v>481</v>
      </c>
      <c r="E181" s="1" t="s">
        <v>28</v>
      </c>
      <c r="F181" s="1" t="s">
        <v>64</v>
      </c>
      <c r="G181" s="1" t="s">
        <v>65</v>
      </c>
      <c r="H181" s="1" t="s">
        <v>42</v>
      </c>
      <c r="I181">
        <v>8</v>
      </c>
      <c r="J181">
        <v>360</v>
      </c>
      <c r="K181">
        <v>250</v>
      </c>
      <c r="L181">
        <v>0.05</v>
      </c>
      <c r="M181" s="1" t="s">
        <v>23</v>
      </c>
      <c r="N181" s="1" t="s">
        <v>36</v>
      </c>
      <c r="O181">
        <v>250</v>
      </c>
      <c r="P181">
        <v>2736</v>
      </c>
      <c r="Q181">
        <v>2000</v>
      </c>
      <c r="R181">
        <v>736</v>
      </c>
      <c r="S181">
        <v>0.26900584795321603</v>
      </c>
    </row>
    <row r="182" spans="1:19" x14ac:dyDescent="0.3">
      <c r="A182" s="1" t="s">
        <v>482</v>
      </c>
      <c r="B182" s="7">
        <f>MONTH(Clean_Sales[[#This Row],[Order_Date]])</f>
        <v>5</v>
      </c>
      <c r="C182" s="6">
        <v>46168</v>
      </c>
      <c r="D182" s="1" t="s">
        <v>222</v>
      </c>
      <c r="E182" s="1" t="s">
        <v>124</v>
      </c>
      <c r="F182" s="1" t="s">
        <v>51</v>
      </c>
      <c r="G182" s="1" t="s">
        <v>52</v>
      </c>
      <c r="H182" s="1" t="s">
        <v>42</v>
      </c>
      <c r="I182">
        <v>6</v>
      </c>
      <c r="J182">
        <v>310</v>
      </c>
      <c r="K182">
        <v>220</v>
      </c>
      <c r="L182">
        <v>0.05</v>
      </c>
      <c r="M182" s="1" t="s">
        <v>46</v>
      </c>
      <c r="N182" s="1" t="s">
        <v>36</v>
      </c>
      <c r="O182">
        <v>220</v>
      </c>
      <c r="P182">
        <v>1767</v>
      </c>
      <c r="Q182">
        <v>1320</v>
      </c>
      <c r="R182">
        <v>447</v>
      </c>
      <c r="S182">
        <v>0.25297113752122202</v>
      </c>
    </row>
    <row r="183" spans="1:19" x14ac:dyDescent="0.3">
      <c r="A183" s="1" t="s">
        <v>485</v>
      </c>
      <c r="B183" s="7">
        <f>MONTH(Clean_Sales[[#This Row],[Order_Date]])</f>
        <v>6</v>
      </c>
      <c r="C183" s="6">
        <v>46174</v>
      </c>
      <c r="D183" s="1" t="s">
        <v>371</v>
      </c>
      <c r="E183" s="1" t="s">
        <v>28</v>
      </c>
      <c r="F183" s="1" t="s">
        <v>89</v>
      </c>
      <c r="G183" s="1" t="s">
        <v>90</v>
      </c>
      <c r="H183" s="1" t="s">
        <v>74</v>
      </c>
      <c r="I183">
        <v>3</v>
      </c>
      <c r="J183">
        <v>85</v>
      </c>
      <c r="K183">
        <v>48</v>
      </c>
      <c r="L183">
        <v>0</v>
      </c>
      <c r="M183" s="1" t="s">
        <v>46</v>
      </c>
      <c r="N183" s="1" t="s">
        <v>36</v>
      </c>
      <c r="O183">
        <v>48</v>
      </c>
      <c r="P183">
        <v>255</v>
      </c>
      <c r="Q183">
        <v>144</v>
      </c>
      <c r="R183">
        <v>111</v>
      </c>
      <c r="S183">
        <v>0.435294117647059</v>
      </c>
    </row>
    <row r="184" spans="1:19" x14ac:dyDescent="0.3">
      <c r="A184" s="1" t="s">
        <v>487</v>
      </c>
      <c r="B184" s="7">
        <f>MONTH(Clean_Sales[[#This Row],[Order_Date]])</f>
        <v>4</v>
      </c>
      <c r="C184" s="6">
        <v>46116</v>
      </c>
      <c r="D184" s="1" t="s">
        <v>345</v>
      </c>
      <c r="E184" s="1" t="s">
        <v>124</v>
      </c>
      <c r="F184" s="1" t="s">
        <v>17</v>
      </c>
      <c r="G184" s="1" t="s">
        <v>18</v>
      </c>
      <c r="H184" s="1" t="s">
        <v>74</v>
      </c>
      <c r="I184">
        <v>2</v>
      </c>
      <c r="J184">
        <v>25</v>
      </c>
      <c r="K184">
        <v>12</v>
      </c>
      <c r="L184">
        <v>0.15</v>
      </c>
      <c r="M184" s="1" t="s">
        <v>23</v>
      </c>
      <c r="N184" s="1" t="s">
        <v>36</v>
      </c>
      <c r="O184">
        <v>12</v>
      </c>
      <c r="P184">
        <v>42.5</v>
      </c>
      <c r="Q184">
        <v>24</v>
      </c>
      <c r="R184">
        <v>18.5</v>
      </c>
      <c r="S184">
        <v>0.435294117647059</v>
      </c>
    </row>
    <row r="185" spans="1:19" x14ac:dyDescent="0.3">
      <c r="A185" s="1" t="s">
        <v>488</v>
      </c>
      <c r="B185" s="7">
        <f>MONTH(Clean_Sales[[#This Row],[Order_Date]])</f>
        <v>6</v>
      </c>
      <c r="C185" s="6">
        <v>46202</v>
      </c>
      <c r="D185" s="1" t="s">
        <v>148</v>
      </c>
      <c r="E185" s="1" t="s">
        <v>28</v>
      </c>
      <c r="F185" s="1" t="s">
        <v>64</v>
      </c>
      <c r="G185" s="1" t="s">
        <v>65</v>
      </c>
      <c r="H185" s="1" t="s">
        <v>42</v>
      </c>
      <c r="I185">
        <v>7</v>
      </c>
      <c r="J185">
        <v>360</v>
      </c>
      <c r="K185">
        <v>250</v>
      </c>
      <c r="L185">
        <v>0</v>
      </c>
      <c r="M185" s="1" t="s">
        <v>23</v>
      </c>
      <c r="N185" s="1" t="s">
        <v>36</v>
      </c>
      <c r="O185">
        <v>250</v>
      </c>
      <c r="P185">
        <v>2520</v>
      </c>
      <c r="Q185">
        <v>1750</v>
      </c>
      <c r="R185">
        <v>770</v>
      </c>
      <c r="S185">
        <v>0.30555555555555602</v>
      </c>
    </row>
    <row r="186" spans="1:19" x14ac:dyDescent="0.3">
      <c r="A186" s="1" t="s">
        <v>491</v>
      </c>
      <c r="B186" s="7">
        <f>MONTH(Clean_Sales[[#This Row],[Order_Date]])</f>
        <v>3</v>
      </c>
      <c r="C186" s="6">
        <v>46090</v>
      </c>
      <c r="D186" s="1" t="s">
        <v>185</v>
      </c>
      <c r="E186" s="1" t="s">
        <v>59</v>
      </c>
      <c r="F186" s="1" t="s">
        <v>72</v>
      </c>
      <c r="G186" s="1" t="s">
        <v>73</v>
      </c>
      <c r="H186" s="1" t="s">
        <v>74</v>
      </c>
      <c r="I186">
        <v>5</v>
      </c>
      <c r="J186">
        <v>65</v>
      </c>
      <c r="K186">
        <v>35</v>
      </c>
      <c r="L186">
        <v>0</v>
      </c>
      <c r="M186" s="1" t="s">
        <v>23</v>
      </c>
      <c r="N186" s="1" t="s">
        <v>36</v>
      </c>
      <c r="O186">
        <v>35</v>
      </c>
      <c r="P186">
        <v>325</v>
      </c>
      <c r="Q186">
        <v>175</v>
      </c>
      <c r="R186">
        <v>150</v>
      </c>
      <c r="S186">
        <v>0.46153846153846201</v>
      </c>
    </row>
    <row r="187" spans="1:19" x14ac:dyDescent="0.3">
      <c r="A187" s="1" t="s">
        <v>492</v>
      </c>
      <c r="B187" s="7">
        <f>MONTH(Clean_Sales[[#This Row],[Order_Date]])</f>
        <v>3</v>
      </c>
      <c r="C187" s="6">
        <v>46108</v>
      </c>
      <c r="D187" s="1" t="s">
        <v>243</v>
      </c>
      <c r="E187" s="1" t="s">
        <v>28</v>
      </c>
      <c r="F187" s="1" t="s">
        <v>89</v>
      </c>
      <c r="G187" s="1" t="s">
        <v>90</v>
      </c>
      <c r="H187" s="1" t="s">
        <v>74</v>
      </c>
      <c r="I187">
        <v>1</v>
      </c>
      <c r="J187">
        <v>85</v>
      </c>
      <c r="K187">
        <v>48</v>
      </c>
      <c r="L187">
        <v>0.1</v>
      </c>
      <c r="M187" s="1" t="s">
        <v>46</v>
      </c>
      <c r="N187" s="1" t="s">
        <v>36</v>
      </c>
      <c r="O187">
        <v>48</v>
      </c>
      <c r="P187">
        <v>76.5</v>
      </c>
      <c r="Q187">
        <v>48</v>
      </c>
      <c r="R187">
        <v>28.5</v>
      </c>
      <c r="S187">
        <v>0.37254901960784298</v>
      </c>
    </row>
    <row r="188" spans="1:19" x14ac:dyDescent="0.3">
      <c r="A188" s="1" t="s">
        <v>493</v>
      </c>
      <c r="B188" s="7">
        <f>MONTH(Clean_Sales[[#This Row],[Order_Date]])</f>
        <v>4</v>
      </c>
      <c r="C188" s="6">
        <v>46115</v>
      </c>
      <c r="D188" s="1" t="s">
        <v>71</v>
      </c>
      <c r="E188" s="1" t="s">
        <v>50</v>
      </c>
      <c r="F188" s="1" t="s">
        <v>40</v>
      </c>
      <c r="G188" s="1" t="s">
        <v>41</v>
      </c>
      <c r="H188" s="1" t="s">
        <v>42</v>
      </c>
      <c r="I188">
        <v>4</v>
      </c>
      <c r="J188">
        <v>1250</v>
      </c>
      <c r="K188">
        <v>940</v>
      </c>
      <c r="L188">
        <v>0.05</v>
      </c>
      <c r="M188" s="1" t="s">
        <v>23</v>
      </c>
      <c r="N188" s="1" t="s">
        <v>36</v>
      </c>
      <c r="O188">
        <v>940</v>
      </c>
      <c r="P188">
        <v>4750</v>
      </c>
      <c r="Q188">
        <v>3760</v>
      </c>
      <c r="R188">
        <v>990</v>
      </c>
      <c r="S188">
        <v>0.20842105263157901</v>
      </c>
    </row>
    <row r="189" spans="1:19" x14ac:dyDescent="0.3">
      <c r="A189" s="1" t="s">
        <v>494</v>
      </c>
      <c r="B189" s="7">
        <f>MONTH(Clean_Sales[[#This Row],[Order_Date]])</f>
        <v>5</v>
      </c>
      <c r="C189" s="6">
        <v>46171</v>
      </c>
      <c r="D189" s="1" t="s">
        <v>495</v>
      </c>
      <c r="E189" s="1" t="s">
        <v>28</v>
      </c>
      <c r="F189" s="1" t="s">
        <v>72</v>
      </c>
      <c r="G189" s="1" t="s">
        <v>73</v>
      </c>
      <c r="H189" s="1" t="s">
        <v>74</v>
      </c>
      <c r="I189">
        <v>1</v>
      </c>
      <c r="J189">
        <v>65</v>
      </c>
      <c r="K189">
        <v>35</v>
      </c>
      <c r="L189">
        <v>0.05</v>
      </c>
      <c r="M189" s="1" t="s">
        <v>46</v>
      </c>
      <c r="N189" s="1" t="s">
        <v>36</v>
      </c>
      <c r="O189">
        <v>35</v>
      </c>
      <c r="P189">
        <v>61.75</v>
      </c>
      <c r="Q189">
        <v>35</v>
      </c>
      <c r="R189">
        <v>26.75</v>
      </c>
      <c r="S189">
        <v>0.43319838056680199</v>
      </c>
    </row>
    <row r="190" spans="1:19" x14ac:dyDescent="0.3">
      <c r="A190" s="1" t="s">
        <v>496</v>
      </c>
      <c r="B190" s="7">
        <f>MONTH(Clean_Sales[[#This Row],[Order_Date]])</f>
        <v>3</v>
      </c>
      <c r="C190" s="6">
        <v>46100</v>
      </c>
      <c r="D190" s="1" t="s">
        <v>497</v>
      </c>
      <c r="E190" s="1" t="s">
        <v>124</v>
      </c>
      <c r="F190" s="1" t="s">
        <v>17</v>
      </c>
      <c r="G190" s="1" t="s">
        <v>18</v>
      </c>
      <c r="H190" s="1" t="s">
        <v>74</v>
      </c>
      <c r="I190">
        <v>2</v>
      </c>
      <c r="J190">
        <v>25</v>
      </c>
      <c r="K190">
        <v>12</v>
      </c>
      <c r="L190">
        <v>0.1</v>
      </c>
      <c r="M190" s="1" t="s">
        <v>46</v>
      </c>
      <c r="N190" s="1" t="s">
        <v>36</v>
      </c>
      <c r="O190">
        <v>12</v>
      </c>
      <c r="P190">
        <v>45</v>
      </c>
      <c r="Q190">
        <v>24</v>
      </c>
      <c r="R190">
        <v>21</v>
      </c>
      <c r="S190">
        <v>0.46666666666666701</v>
      </c>
    </row>
    <row r="191" spans="1:19" x14ac:dyDescent="0.3">
      <c r="A191" s="1" t="s">
        <v>498</v>
      </c>
      <c r="B191" s="7">
        <f>MONTH(Clean_Sales[[#This Row],[Order_Date]])</f>
        <v>1</v>
      </c>
      <c r="C191" s="6">
        <v>46046</v>
      </c>
      <c r="D191" s="1" t="s">
        <v>251</v>
      </c>
      <c r="E191" s="1" t="s">
        <v>59</v>
      </c>
      <c r="F191" s="1" t="s">
        <v>106</v>
      </c>
      <c r="G191" s="1" t="s">
        <v>107</v>
      </c>
      <c r="H191" s="1" t="s">
        <v>31</v>
      </c>
      <c r="I191">
        <v>5</v>
      </c>
      <c r="J191">
        <v>190</v>
      </c>
      <c r="K191">
        <v>115</v>
      </c>
      <c r="L191">
        <v>0.1</v>
      </c>
      <c r="M191" s="1" t="s">
        <v>46</v>
      </c>
      <c r="N191" s="1" t="s">
        <v>36</v>
      </c>
      <c r="O191">
        <v>115</v>
      </c>
      <c r="P191">
        <v>855</v>
      </c>
      <c r="Q191">
        <v>575</v>
      </c>
      <c r="R191">
        <v>280</v>
      </c>
      <c r="S191">
        <v>0.32748538011695899</v>
      </c>
    </row>
    <row r="192" spans="1:19" x14ac:dyDescent="0.3">
      <c r="A192" s="1" t="s">
        <v>499</v>
      </c>
      <c r="B192" s="7">
        <f>MONTH(Clean_Sales[[#This Row],[Order_Date]])</f>
        <v>5</v>
      </c>
      <c r="C192" s="6">
        <v>46145</v>
      </c>
      <c r="D192" s="1" t="s">
        <v>273</v>
      </c>
      <c r="E192" s="1" t="s">
        <v>28</v>
      </c>
      <c r="F192" s="1" t="s">
        <v>106</v>
      </c>
      <c r="G192" s="1" t="s">
        <v>107</v>
      </c>
      <c r="H192" s="1" t="s">
        <v>31</v>
      </c>
      <c r="I192">
        <v>5</v>
      </c>
      <c r="J192">
        <v>190</v>
      </c>
      <c r="K192">
        <v>115</v>
      </c>
      <c r="L192">
        <v>0.05</v>
      </c>
      <c r="M192" s="1" t="s">
        <v>23</v>
      </c>
      <c r="N192" s="1" t="s">
        <v>36</v>
      </c>
      <c r="O192">
        <v>115</v>
      </c>
      <c r="P192">
        <v>902.5</v>
      </c>
      <c r="Q192">
        <v>575</v>
      </c>
      <c r="R192">
        <v>327.5</v>
      </c>
      <c r="S192">
        <v>0.362880886426593</v>
      </c>
    </row>
    <row r="193" spans="1:19" x14ac:dyDescent="0.3">
      <c r="A193" s="1" t="s">
        <v>501</v>
      </c>
      <c r="B193" s="7">
        <f>MONTH(Clean_Sales[[#This Row],[Order_Date]])</f>
        <v>6</v>
      </c>
      <c r="C193" s="6">
        <v>46203</v>
      </c>
      <c r="D193" s="1" t="s">
        <v>295</v>
      </c>
      <c r="E193" s="1" t="s">
        <v>124</v>
      </c>
      <c r="F193" s="1" t="s">
        <v>72</v>
      </c>
      <c r="G193" s="1" t="s">
        <v>73</v>
      </c>
      <c r="H193" s="1" t="s">
        <v>74</v>
      </c>
      <c r="I193">
        <v>6</v>
      </c>
      <c r="J193">
        <v>65</v>
      </c>
      <c r="K193">
        <v>35</v>
      </c>
      <c r="L193">
        <v>0.05</v>
      </c>
      <c r="M193" s="1" t="s">
        <v>23</v>
      </c>
      <c r="N193" s="1" t="s">
        <v>36</v>
      </c>
      <c r="O193">
        <v>35</v>
      </c>
      <c r="P193">
        <v>370.5</v>
      </c>
      <c r="Q193">
        <v>210</v>
      </c>
      <c r="R193">
        <v>160.5</v>
      </c>
      <c r="S193">
        <v>0.43319838056680199</v>
      </c>
    </row>
    <row r="194" spans="1:19" x14ac:dyDescent="0.3">
      <c r="A194" s="1" t="s">
        <v>502</v>
      </c>
      <c r="B194" s="7">
        <f>MONTH(Clean_Sales[[#This Row],[Order_Date]])</f>
        <v>3</v>
      </c>
      <c r="C194" s="6">
        <v>46103</v>
      </c>
      <c r="D194" s="1" t="s">
        <v>58</v>
      </c>
      <c r="E194" s="1" t="s">
        <v>50</v>
      </c>
      <c r="F194" s="1" t="s">
        <v>89</v>
      </c>
      <c r="G194" s="1" t="s">
        <v>90</v>
      </c>
      <c r="H194" s="1" t="s">
        <v>74</v>
      </c>
      <c r="I194">
        <v>7</v>
      </c>
      <c r="J194">
        <v>85</v>
      </c>
      <c r="K194">
        <v>48</v>
      </c>
      <c r="L194">
        <v>0</v>
      </c>
      <c r="M194" s="1" t="s">
        <v>23</v>
      </c>
      <c r="N194" s="1" t="s">
        <v>36</v>
      </c>
      <c r="O194">
        <v>48</v>
      </c>
      <c r="P194">
        <v>595</v>
      </c>
      <c r="Q194">
        <v>336</v>
      </c>
      <c r="R194">
        <v>259</v>
      </c>
      <c r="S194">
        <v>0.435294117647059</v>
      </c>
    </row>
    <row r="195" spans="1:19" x14ac:dyDescent="0.3">
      <c r="A195" s="1" t="s">
        <v>504</v>
      </c>
      <c r="B195" s="7">
        <f>MONTH(Clean_Sales[[#This Row],[Order_Date]])</f>
        <v>2</v>
      </c>
      <c r="C195" s="6">
        <v>46056</v>
      </c>
      <c r="D195" s="1" t="s">
        <v>140</v>
      </c>
      <c r="E195" s="1" t="s">
        <v>59</v>
      </c>
      <c r="F195" s="1" t="s">
        <v>72</v>
      </c>
      <c r="G195" s="1" t="s">
        <v>73</v>
      </c>
      <c r="H195" s="1" t="s">
        <v>74</v>
      </c>
      <c r="I195">
        <v>1</v>
      </c>
      <c r="J195">
        <v>65</v>
      </c>
      <c r="K195">
        <v>35</v>
      </c>
      <c r="L195">
        <v>0.05</v>
      </c>
      <c r="M195" s="1" t="s">
        <v>23</v>
      </c>
      <c r="N195" s="1" t="s">
        <v>36</v>
      </c>
      <c r="O195">
        <v>35</v>
      </c>
      <c r="P195">
        <v>61.75</v>
      </c>
      <c r="Q195">
        <v>35</v>
      </c>
      <c r="R195">
        <v>26.75</v>
      </c>
      <c r="S195">
        <v>0.43319838056680199</v>
      </c>
    </row>
    <row r="196" spans="1:19" x14ac:dyDescent="0.3">
      <c r="A196" s="1" t="s">
        <v>505</v>
      </c>
      <c r="B196" s="7">
        <f>MONTH(Clean_Sales[[#This Row],[Order_Date]])</f>
        <v>4</v>
      </c>
      <c r="C196" s="6">
        <v>46126</v>
      </c>
      <c r="D196" s="1" t="s">
        <v>105</v>
      </c>
      <c r="E196" s="1" t="s">
        <v>124</v>
      </c>
      <c r="F196" s="1" t="s">
        <v>40</v>
      </c>
      <c r="G196" s="1" t="s">
        <v>41</v>
      </c>
      <c r="H196" s="1" t="s">
        <v>42</v>
      </c>
      <c r="I196">
        <v>1</v>
      </c>
      <c r="J196">
        <v>1250</v>
      </c>
      <c r="K196">
        <v>940</v>
      </c>
      <c r="L196">
        <v>0.15</v>
      </c>
      <c r="M196" s="1" t="s">
        <v>23</v>
      </c>
      <c r="N196" s="1" t="s">
        <v>36</v>
      </c>
      <c r="O196">
        <v>940</v>
      </c>
      <c r="P196">
        <v>1062.5</v>
      </c>
      <c r="Q196">
        <v>940</v>
      </c>
      <c r="R196">
        <v>122.5</v>
      </c>
      <c r="S196">
        <v>0.11529411764705901</v>
      </c>
    </row>
    <row r="197" spans="1:19" x14ac:dyDescent="0.3">
      <c r="A197" s="1" t="s">
        <v>507</v>
      </c>
      <c r="B197" s="7">
        <f>MONTH(Clean_Sales[[#This Row],[Order_Date]])</f>
        <v>4</v>
      </c>
      <c r="C197" s="6">
        <v>46139</v>
      </c>
      <c r="D197" s="1" t="s">
        <v>145</v>
      </c>
      <c r="E197" s="1" t="s">
        <v>124</v>
      </c>
      <c r="F197" s="1" t="s">
        <v>72</v>
      </c>
      <c r="G197" s="1" t="s">
        <v>73</v>
      </c>
      <c r="H197" s="1" t="s">
        <v>74</v>
      </c>
      <c r="I197">
        <v>4</v>
      </c>
      <c r="J197">
        <v>65</v>
      </c>
      <c r="K197">
        <v>35</v>
      </c>
      <c r="L197">
        <v>0.1</v>
      </c>
      <c r="M197" s="1" t="s">
        <v>23</v>
      </c>
      <c r="N197" s="1" t="s">
        <v>36</v>
      </c>
      <c r="O197">
        <v>35</v>
      </c>
      <c r="P197">
        <v>234</v>
      </c>
      <c r="Q197">
        <v>140</v>
      </c>
      <c r="R197">
        <v>94</v>
      </c>
      <c r="S197">
        <v>0.401709401709402</v>
      </c>
    </row>
    <row r="198" spans="1:19" x14ac:dyDescent="0.3">
      <c r="A198" s="1" t="s">
        <v>509</v>
      </c>
      <c r="B198" s="7">
        <f>MONTH(Clean_Sales[[#This Row],[Order_Date]])</f>
        <v>4</v>
      </c>
      <c r="C198" s="6">
        <v>46138</v>
      </c>
      <c r="D198" s="1" t="s">
        <v>273</v>
      </c>
      <c r="E198" s="1" t="s">
        <v>124</v>
      </c>
      <c r="F198" s="1" t="s">
        <v>72</v>
      </c>
      <c r="G198" s="1" t="s">
        <v>73</v>
      </c>
      <c r="H198" s="1" t="s">
        <v>74</v>
      </c>
      <c r="I198">
        <v>3</v>
      </c>
      <c r="J198">
        <v>65</v>
      </c>
      <c r="K198">
        <v>35</v>
      </c>
      <c r="L198">
        <v>0.1</v>
      </c>
      <c r="M198" s="1" t="s">
        <v>46</v>
      </c>
      <c r="N198" s="1" t="s">
        <v>36</v>
      </c>
      <c r="O198">
        <v>35</v>
      </c>
      <c r="P198">
        <v>175.5</v>
      </c>
      <c r="Q198">
        <v>105</v>
      </c>
      <c r="R198">
        <v>70.5</v>
      </c>
      <c r="S198">
        <v>0.401709401709402</v>
      </c>
    </row>
    <row r="199" spans="1:19" x14ac:dyDescent="0.3">
      <c r="A199" s="1" t="s">
        <v>511</v>
      </c>
      <c r="B199" s="7">
        <f>MONTH(Clean_Sales[[#This Row],[Order_Date]])</f>
        <v>4</v>
      </c>
      <c r="C199" s="6">
        <v>46131</v>
      </c>
      <c r="D199" s="1" t="s">
        <v>478</v>
      </c>
      <c r="E199" s="1" t="s">
        <v>50</v>
      </c>
      <c r="F199" s="1" t="s">
        <v>64</v>
      </c>
      <c r="G199" s="1" t="s">
        <v>65</v>
      </c>
      <c r="H199" s="1" t="s">
        <v>42</v>
      </c>
      <c r="I199">
        <v>6</v>
      </c>
      <c r="J199">
        <v>360</v>
      </c>
      <c r="K199">
        <v>250</v>
      </c>
      <c r="L199">
        <v>0.15</v>
      </c>
      <c r="M199" s="1" t="s">
        <v>46</v>
      </c>
      <c r="N199" s="1" t="s">
        <v>36</v>
      </c>
      <c r="O199">
        <v>250</v>
      </c>
      <c r="P199">
        <v>1836</v>
      </c>
      <c r="Q199">
        <v>1500</v>
      </c>
      <c r="R199">
        <v>336</v>
      </c>
      <c r="S199">
        <v>0.18300653594771199</v>
      </c>
    </row>
    <row r="200" spans="1:19" x14ac:dyDescent="0.3">
      <c r="A200" s="1" t="s">
        <v>512</v>
      </c>
      <c r="B200" s="7">
        <f>MONTH(Clean_Sales[[#This Row],[Order_Date]])</f>
        <v>1</v>
      </c>
      <c r="C200" s="6">
        <v>46028</v>
      </c>
      <c r="D200" s="1" t="s">
        <v>513</v>
      </c>
      <c r="E200" s="1" t="s">
        <v>28</v>
      </c>
      <c r="F200" s="1" t="s">
        <v>51</v>
      </c>
      <c r="G200" s="1" t="s">
        <v>52</v>
      </c>
      <c r="H200" s="1" t="s">
        <v>42</v>
      </c>
      <c r="I200">
        <v>1</v>
      </c>
      <c r="J200">
        <v>310</v>
      </c>
      <c r="K200">
        <v>220</v>
      </c>
      <c r="L200">
        <v>0.05</v>
      </c>
      <c r="M200" s="1" t="s">
        <v>46</v>
      </c>
      <c r="N200" s="1" t="s">
        <v>36</v>
      </c>
      <c r="O200">
        <v>220</v>
      </c>
      <c r="P200">
        <v>294.5</v>
      </c>
      <c r="Q200">
        <v>220</v>
      </c>
      <c r="R200">
        <v>74.5</v>
      </c>
      <c r="S200">
        <v>0.25297113752122202</v>
      </c>
    </row>
    <row r="201" spans="1:19" x14ac:dyDescent="0.3">
      <c r="A201" s="1" t="s">
        <v>514</v>
      </c>
      <c r="B201" s="7">
        <f>MONTH(Clean_Sales[[#This Row],[Order_Date]])</f>
        <v>4</v>
      </c>
      <c r="C201" s="6">
        <v>46133</v>
      </c>
      <c r="D201" s="1" t="s">
        <v>382</v>
      </c>
      <c r="E201" s="1" t="s">
        <v>124</v>
      </c>
      <c r="F201" s="1" t="s">
        <v>40</v>
      </c>
      <c r="G201" s="1" t="s">
        <v>41</v>
      </c>
      <c r="H201" s="1" t="s">
        <v>42</v>
      </c>
      <c r="I201">
        <v>2</v>
      </c>
      <c r="J201">
        <v>1250</v>
      </c>
      <c r="K201">
        <v>940</v>
      </c>
      <c r="L201">
        <v>0.05</v>
      </c>
      <c r="M201" s="1" t="s">
        <v>46</v>
      </c>
      <c r="N201" s="1" t="s">
        <v>36</v>
      </c>
      <c r="O201">
        <v>940</v>
      </c>
      <c r="P201">
        <v>2375</v>
      </c>
      <c r="Q201">
        <v>1880</v>
      </c>
      <c r="R201">
        <v>495</v>
      </c>
      <c r="S201">
        <v>0.20842105263157901</v>
      </c>
    </row>
    <row r="202" spans="1:19" x14ac:dyDescent="0.3">
      <c r="A202" s="1" t="s">
        <v>515</v>
      </c>
      <c r="B202" s="7">
        <f>MONTH(Clean_Sales[[#This Row],[Order_Date]])</f>
        <v>6</v>
      </c>
      <c r="C202" s="6">
        <v>46201</v>
      </c>
      <c r="D202" s="1" t="s">
        <v>333</v>
      </c>
      <c r="E202" s="1" t="s">
        <v>50</v>
      </c>
      <c r="F202" s="1" t="s">
        <v>40</v>
      </c>
      <c r="G202" s="1" t="s">
        <v>41</v>
      </c>
      <c r="H202" s="1" t="s">
        <v>42</v>
      </c>
      <c r="I202">
        <v>4</v>
      </c>
      <c r="J202">
        <v>1250</v>
      </c>
      <c r="K202">
        <v>940</v>
      </c>
      <c r="L202">
        <v>0</v>
      </c>
      <c r="M202" s="1" t="s">
        <v>46</v>
      </c>
      <c r="N202" s="1" t="s">
        <v>36</v>
      </c>
      <c r="O202">
        <v>940</v>
      </c>
      <c r="P202">
        <v>5000</v>
      </c>
      <c r="Q202">
        <v>3760</v>
      </c>
      <c r="R202">
        <v>1240</v>
      </c>
      <c r="S202">
        <v>0.248</v>
      </c>
    </row>
    <row r="203" spans="1:19" x14ac:dyDescent="0.3">
      <c r="A203" s="1" t="s">
        <v>517</v>
      </c>
      <c r="B203" s="7">
        <f>MONTH(Clean_Sales[[#This Row],[Order_Date]])</f>
        <v>4</v>
      </c>
      <c r="C203" s="6">
        <v>46134</v>
      </c>
      <c r="D203" s="1" t="s">
        <v>475</v>
      </c>
      <c r="E203" s="1" t="s">
        <v>50</v>
      </c>
      <c r="F203" s="1" t="s">
        <v>17</v>
      </c>
      <c r="G203" s="1" t="s">
        <v>18</v>
      </c>
      <c r="H203" s="1" t="s">
        <v>74</v>
      </c>
      <c r="I203">
        <v>2</v>
      </c>
      <c r="J203">
        <v>25</v>
      </c>
      <c r="K203">
        <v>12</v>
      </c>
      <c r="L203">
        <v>0</v>
      </c>
      <c r="M203" s="1" t="s">
        <v>46</v>
      </c>
      <c r="N203" s="1" t="s">
        <v>36</v>
      </c>
      <c r="O203">
        <v>12</v>
      </c>
      <c r="P203">
        <v>50</v>
      </c>
      <c r="Q203">
        <v>24</v>
      </c>
      <c r="R203">
        <v>26</v>
      </c>
      <c r="S203">
        <v>0.52</v>
      </c>
    </row>
    <row r="204" spans="1:19" x14ac:dyDescent="0.3">
      <c r="A204" s="1" t="s">
        <v>518</v>
      </c>
      <c r="B204" s="7">
        <f>MONTH(Clean_Sales[[#This Row],[Order_Date]])</f>
        <v>5</v>
      </c>
      <c r="C204" s="6">
        <v>46144</v>
      </c>
      <c r="D204" s="1" t="s">
        <v>475</v>
      </c>
      <c r="E204" s="1" t="s">
        <v>982</v>
      </c>
      <c r="F204" s="1" t="s">
        <v>89</v>
      </c>
      <c r="G204" s="1" t="s">
        <v>90</v>
      </c>
      <c r="H204" s="1" t="s">
        <v>74</v>
      </c>
      <c r="I204">
        <v>5</v>
      </c>
      <c r="J204">
        <v>85</v>
      </c>
      <c r="K204">
        <v>48</v>
      </c>
      <c r="L204">
        <v>0.1</v>
      </c>
      <c r="M204" s="1" t="s">
        <v>23</v>
      </c>
      <c r="N204" s="1" t="s">
        <v>36</v>
      </c>
      <c r="O204">
        <v>48</v>
      </c>
      <c r="P204">
        <v>382.5</v>
      </c>
      <c r="Q204">
        <v>240</v>
      </c>
      <c r="R204">
        <v>142.5</v>
      </c>
      <c r="S204">
        <v>0.37254901960784298</v>
      </c>
    </row>
    <row r="205" spans="1:19" x14ac:dyDescent="0.3">
      <c r="A205" s="1" t="s">
        <v>519</v>
      </c>
      <c r="B205" s="7">
        <f>MONTH(Clean_Sales[[#This Row],[Order_Date]])</f>
        <v>1</v>
      </c>
      <c r="C205" s="6">
        <v>46025</v>
      </c>
      <c r="D205" s="1" t="s">
        <v>137</v>
      </c>
      <c r="E205" s="1" t="s">
        <v>28</v>
      </c>
      <c r="F205" s="1" t="s">
        <v>72</v>
      </c>
      <c r="G205" s="1" t="s">
        <v>73</v>
      </c>
      <c r="H205" s="1" t="s">
        <v>74</v>
      </c>
      <c r="I205">
        <v>1</v>
      </c>
      <c r="J205">
        <v>65</v>
      </c>
      <c r="K205">
        <v>35</v>
      </c>
      <c r="L205">
        <v>0</v>
      </c>
      <c r="M205" s="1" t="s">
        <v>46</v>
      </c>
      <c r="N205" s="1" t="s">
        <v>36</v>
      </c>
      <c r="O205">
        <v>35</v>
      </c>
      <c r="P205">
        <v>65</v>
      </c>
      <c r="Q205">
        <v>35</v>
      </c>
      <c r="R205">
        <v>30</v>
      </c>
      <c r="S205">
        <v>0.46153846153846201</v>
      </c>
    </row>
    <row r="206" spans="1:19" x14ac:dyDescent="0.3">
      <c r="A206" s="1" t="s">
        <v>521</v>
      </c>
      <c r="B206" s="7">
        <f>MONTH(Clean_Sales[[#This Row],[Order_Date]])</f>
        <v>2</v>
      </c>
      <c r="C206" s="6">
        <v>46064</v>
      </c>
      <c r="D206" s="1" t="s">
        <v>425</v>
      </c>
      <c r="E206" s="1" t="s">
        <v>28</v>
      </c>
      <c r="F206" s="1" t="s">
        <v>64</v>
      </c>
      <c r="G206" s="1" t="s">
        <v>65</v>
      </c>
      <c r="H206" s="1" t="s">
        <v>42</v>
      </c>
      <c r="I206">
        <v>1</v>
      </c>
      <c r="J206">
        <v>360</v>
      </c>
      <c r="K206">
        <v>250</v>
      </c>
      <c r="L206">
        <v>0</v>
      </c>
      <c r="M206" s="1" t="s">
        <v>23</v>
      </c>
      <c r="N206" s="1" t="s">
        <v>36</v>
      </c>
      <c r="O206">
        <v>250</v>
      </c>
      <c r="P206">
        <v>360</v>
      </c>
      <c r="Q206">
        <v>250</v>
      </c>
      <c r="R206">
        <v>110</v>
      </c>
      <c r="S206">
        <v>0.30555555555555602</v>
      </c>
    </row>
    <row r="207" spans="1:19" x14ac:dyDescent="0.3">
      <c r="A207" s="1" t="s">
        <v>522</v>
      </c>
      <c r="B207" s="7">
        <f>MONTH(Clean_Sales[[#This Row],[Order_Date]])</f>
        <v>5</v>
      </c>
      <c r="C207" s="6">
        <v>46153</v>
      </c>
      <c r="D207" s="1" t="s">
        <v>271</v>
      </c>
      <c r="E207" s="1" t="s">
        <v>50</v>
      </c>
      <c r="F207" s="1" t="s">
        <v>40</v>
      </c>
      <c r="G207" s="1" t="s">
        <v>41</v>
      </c>
      <c r="H207" s="1" t="s">
        <v>42</v>
      </c>
      <c r="I207">
        <v>6</v>
      </c>
      <c r="J207">
        <v>1250</v>
      </c>
      <c r="K207">
        <v>940</v>
      </c>
      <c r="L207">
        <v>0.05</v>
      </c>
      <c r="M207" s="1" t="s">
        <v>23</v>
      </c>
      <c r="N207" s="1" t="s">
        <v>36</v>
      </c>
      <c r="O207">
        <v>940</v>
      </c>
      <c r="P207">
        <v>7125</v>
      </c>
      <c r="Q207">
        <v>5640</v>
      </c>
      <c r="R207">
        <v>1485</v>
      </c>
      <c r="S207">
        <v>0.20842105263157901</v>
      </c>
    </row>
    <row r="208" spans="1:19" x14ac:dyDescent="0.3">
      <c r="A208" s="1" t="s">
        <v>523</v>
      </c>
      <c r="B208" s="7">
        <f>MONTH(Clean_Sales[[#This Row],[Order_Date]])</f>
        <v>6</v>
      </c>
      <c r="C208" s="6">
        <v>46178</v>
      </c>
      <c r="D208" s="1" t="s">
        <v>318</v>
      </c>
      <c r="E208" s="1" t="s">
        <v>124</v>
      </c>
      <c r="F208" s="1" t="s">
        <v>29</v>
      </c>
      <c r="G208" s="1" t="s">
        <v>30</v>
      </c>
      <c r="H208" s="1" t="s">
        <v>31</v>
      </c>
      <c r="I208">
        <v>8</v>
      </c>
      <c r="J208">
        <v>280</v>
      </c>
      <c r="K208">
        <v>190</v>
      </c>
      <c r="L208">
        <v>0</v>
      </c>
      <c r="M208" s="1" t="s">
        <v>23</v>
      </c>
      <c r="N208" s="1" t="s">
        <v>36</v>
      </c>
      <c r="O208">
        <v>190</v>
      </c>
      <c r="P208">
        <v>2240</v>
      </c>
      <c r="Q208">
        <v>1520</v>
      </c>
      <c r="R208">
        <v>720</v>
      </c>
      <c r="S208">
        <v>0.32142857142857101</v>
      </c>
    </row>
    <row r="209" spans="1:19" x14ac:dyDescent="0.3">
      <c r="A209" s="1" t="s">
        <v>525</v>
      </c>
      <c r="B209" s="7">
        <f>MONTH(Clean_Sales[[#This Row],[Order_Date]])</f>
        <v>2</v>
      </c>
      <c r="C209" s="6">
        <v>46064</v>
      </c>
      <c r="D209" s="1" t="s">
        <v>295</v>
      </c>
      <c r="E209" s="1" t="s">
        <v>124</v>
      </c>
      <c r="F209" s="1" t="s">
        <v>64</v>
      </c>
      <c r="G209" s="1" t="s">
        <v>65</v>
      </c>
      <c r="H209" s="1" t="s">
        <v>42</v>
      </c>
      <c r="I209">
        <v>6</v>
      </c>
      <c r="J209">
        <v>360</v>
      </c>
      <c r="K209">
        <v>250</v>
      </c>
      <c r="L209">
        <v>0.15</v>
      </c>
      <c r="M209" s="1" t="s">
        <v>46</v>
      </c>
      <c r="N209" s="1" t="s">
        <v>36</v>
      </c>
      <c r="O209">
        <v>250</v>
      </c>
      <c r="P209">
        <v>1836</v>
      </c>
      <c r="Q209">
        <v>1500</v>
      </c>
      <c r="R209">
        <v>336</v>
      </c>
      <c r="S209">
        <v>0.18300653594771199</v>
      </c>
    </row>
    <row r="210" spans="1:19" x14ac:dyDescent="0.3">
      <c r="A210" s="1" t="s">
        <v>526</v>
      </c>
      <c r="B210" s="7">
        <f>MONTH(Clean_Sales[[#This Row],[Order_Date]])</f>
        <v>6</v>
      </c>
      <c r="C210" s="6">
        <v>46181</v>
      </c>
      <c r="D210" s="1" t="s">
        <v>279</v>
      </c>
      <c r="E210" s="1" t="s">
        <v>50</v>
      </c>
      <c r="F210" s="1" t="s">
        <v>106</v>
      </c>
      <c r="G210" s="1" t="s">
        <v>107</v>
      </c>
      <c r="H210" s="1" t="s">
        <v>31</v>
      </c>
      <c r="I210">
        <v>2</v>
      </c>
      <c r="J210">
        <v>190</v>
      </c>
      <c r="K210">
        <v>115</v>
      </c>
      <c r="L210">
        <v>0.15</v>
      </c>
      <c r="M210" s="1" t="s">
        <v>46</v>
      </c>
      <c r="N210" s="1" t="s">
        <v>36</v>
      </c>
      <c r="O210">
        <v>115</v>
      </c>
      <c r="P210">
        <v>323</v>
      </c>
      <c r="Q210">
        <v>230</v>
      </c>
      <c r="R210">
        <v>93</v>
      </c>
      <c r="S210">
        <v>0.28792569659442702</v>
      </c>
    </row>
    <row r="211" spans="1:19" x14ac:dyDescent="0.3">
      <c r="A211" s="1" t="s">
        <v>527</v>
      </c>
      <c r="B211" s="7">
        <f>MONTH(Clean_Sales[[#This Row],[Order_Date]])</f>
        <v>5</v>
      </c>
      <c r="C211" s="6">
        <v>46145</v>
      </c>
      <c r="D211" s="1" t="s">
        <v>528</v>
      </c>
      <c r="E211" s="1" t="s">
        <v>124</v>
      </c>
      <c r="F211" s="1" t="s">
        <v>51</v>
      </c>
      <c r="G211" s="1" t="s">
        <v>52</v>
      </c>
      <c r="H211" s="1" t="s">
        <v>42</v>
      </c>
      <c r="I211">
        <v>1</v>
      </c>
      <c r="J211">
        <v>310</v>
      </c>
      <c r="K211">
        <v>220</v>
      </c>
      <c r="L211">
        <v>0.15</v>
      </c>
      <c r="M211" s="1" t="s">
        <v>23</v>
      </c>
      <c r="N211" s="1" t="s">
        <v>36</v>
      </c>
      <c r="O211">
        <v>220</v>
      </c>
      <c r="P211">
        <v>263.5</v>
      </c>
      <c r="Q211">
        <v>220</v>
      </c>
      <c r="R211">
        <v>43.5</v>
      </c>
      <c r="S211">
        <v>0.165085388994307</v>
      </c>
    </row>
    <row r="212" spans="1:19" x14ac:dyDescent="0.3">
      <c r="A212" s="1" t="s">
        <v>529</v>
      </c>
      <c r="B212" s="7">
        <f>MONTH(Clean_Sales[[#This Row],[Order_Date]])</f>
        <v>5</v>
      </c>
      <c r="C212" s="6">
        <v>46158</v>
      </c>
      <c r="D212" s="1" t="s">
        <v>289</v>
      </c>
      <c r="E212" s="1" t="s">
        <v>59</v>
      </c>
      <c r="F212" s="1" t="s">
        <v>40</v>
      </c>
      <c r="G212" s="1" t="s">
        <v>41</v>
      </c>
      <c r="H212" s="1" t="s">
        <v>42</v>
      </c>
      <c r="I212">
        <v>3</v>
      </c>
      <c r="J212">
        <v>1250</v>
      </c>
      <c r="K212">
        <v>940</v>
      </c>
      <c r="L212">
        <v>0.05</v>
      </c>
      <c r="M212" s="1" t="s">
        <v>46</v>
      </c>
      <c r="N212" s="1" t="s">
        <v>36</v>
      </c>
      <c r="O212">
        <v>940</v>
      </c>
      <c r="P212">
        <v>3562.5</v>
      </c>
      <c r="Q212">
        <v>2820</v>
      </c>
      <c r="R212">
        <v>742.5</v>
      </c>
      <c r="S212">
        <v>0.20842105263157901</v>
      </c>
    </row>
    <row r="213" spans="1:19" x14ac:dyDescent="0.3">
      <c r="A213" s="1" t="s">
        <v>531</v>
      </c>
      <c r="B213" s="7">
        <f>MONTH(Clean_Sales[[#This Row],[Order_Date]])</f>
        <v>6</v>
      </c>
      <c r="C213" s="6">
        <v>46186</v>
      </c>
      <c r="D213" s="1" t="s">
        <v>416</v>
      </c>
      <c r="E213" s="1" t="s">
        <v>124</v>
      </c>
      <c r="F213" s="1" t="s">
        <v>72</v>
      </c>
      <c r="G213" s="1" t="s">
        <v>73</v>
      </c>
      <c r="H213" s="1" t="s">
        <v>74</v>
      </c>
      <c r="I213">
        <v>6</v>
      </c>
      <c r="J213">
        <v>65</v>
      </c>
      <c r="K213">
        <v>35</v>
      </c>
      <c r="L213">
        <v>0.1</v>
      </c>
      <c r="M213" s="1" t="s">
        <v>23</v>
      </c>
      <c r="N213" s="1" t="s">
        <v>36</v>
      </c>
      <c r="O213">
        <v>35</v>
      </c>
      <c r="P213">
        <v>351</v>
      </c>
      <c r="Q213">
        <v>210</v>
      </c>
      <c r="R213">
        <v>141</v>
      </c>
      <c r="S213">
        <v>0.401709401709402</v>
      </c>
    </row>
    <row r="214" spans="1:19" x14ac:dyDescent="0.3">
      <c r="A214" s="1" t="s">
        <v>533</v>
      </c>
      <c r="B214" s="7">
        <f>MONTH(Clean_Sales[[#This Row],[Order_Date]])</f>
        <v>2</v>
      </c>
      <c r="C214" s="6">
        <v>46058</v>
      </c>
      <c r="D214" s="1" t="s">
        <v>39</v>
      </c>
      <c r="E214" s="1" t="s">
        <v>28</v>
      </c>
      <c r="F214" s="1" t="s">
        <v>40</v>
      </c>
      <c r="G214" s="1" t="s">
        <v>41</v>
      </c>
      <c r="H214" s="1" t="s">
        <v>42</v>
      </c>
      <c r="I214">
        <v>1</v>
      </c>
      <c r="J214">
        <v>1250</v>
      </c>
      <c r="K214">
        <v>940</v>
      </c>
      <c r="L214">
        <v>0</v>
      </c>
      <c r="M214" s="1" t="s">
        <v>46</v>
      </c>
      <c r="N214" s="1" t="s">
        <v>36</v>
      </c>
      <c r="O214">
        <v>940</v>
      </c>
      <c r="P214">
        <v>1250</v>
      </c>
      <c r="Q214">
        <v>940</v>
      </c>
      <c r="R214">
        <v>310</v>
      </c>
      <c r="S214">
        <v>0.248</v>
      </c>
    </row>
    <row r="215" spans="1:19" x14ac:dyDescent="0.3">
      <c r="A215" s="1" t="s">
        <v>535</v>
      </c>
      <c r="B215" s="7">
        <f>MONTH(Clean_Sales[[#This Row],[Order_Date]])</f>
        <v>4</v>
      </c>
      <c r="C215" s="6">
        <v>46115</v>
      </c>
      <c r="D215" s="1" t="s">
        <v>536</v>
      </c>
      <c r="E215" s="1" t="s">
        <v>50</v>
      </c>
      <c r="F215" s="1" t="s">
        <v>29</v>
      </c>
      <c r="G215" s="1" t="s">
        <v>30</v>
      </c>
      <c r="H215" s="1" t="s">
        <v>31</v>
      </c>
      <c r="I215">
        <v>6</v>
      </c>
      <c r="J215">
        <v>280</v>
      </c>
      <c r="K215">
        <v>190</v>
      </c>
      <c r="L215">
        <v>0</v>
      </c>
      <c r="M215" s="1" t="s">
        <v>23</v>
      </c>
      <c r="N215" s="1" t="s">
        <v>36</v>
      </c>
      <c r="O215">
        <v>190</v>
      </c>
      <c r="P215">
        <v>1680</v>
      </c>
      <c r="Q215">
        <v>1140</v>
      </c>
      <c r="R215">
        <v>540</v>
      </c>
      <c r="S215">
        <v>0.32142857142857101</v>
      </c>
    </row>
    <row r="216" spans="1:19" x14ac:dyDescent="0.3">
      <c r="A216" s="1" t="s">
        <v>537</v>
      </c>
      <c r="B216" s="7">
        <f>MONTH(Clean_Sales[[#This Row],[Order_Date]])</f>
        <v>2</v>
      </c>
      <c r="C216" s="6">
        <v>46065</v>
      </c>
      <c r="D216" s="1" t="s">
        <v>364</v>
      </c>
      <c r="E216" s="1" t="s">
        <v>59</v>
      </c>
      <c r="F216" s="1" t="s">
        <v>29</v>
      </c>
      <c r="G216" s="1" t="s">
        <v>30</v>
      </c>
      <c r="H216" s="1" t="s">
        <v>31</v>
      </c>
      <c r="I216">
        <v>2</v>
      </c>
      <c r="J216">
        <v>280</v>
      </c>
      <c r="K216">
        <v>190</v>
      </c>
      <c r="L216">
        <v>0.05</v>
      </c>
      <c r="M216" s="1" t="s">
        <v>23</v>
      </c>
      <c r="N216" s="1" t="s">
        <v>36</v>
      </c>
      <c r="O216">
        <v>190</v>
      </c>
      <c r="P216">
        <v>532</v>
      </c>
      <c r="Q216">
        <v>380</v>
      </c>
      <c r="R216">
        <v>152</v>
      </c>
      <c r="S216">
        <v>0.28571428571428598</v>
      </c>
    </row>
    <row r="217" spans="1:19" x14ac:dyDescent="0.3">
      <c r="A217" s="1" t="s">
        <v>538</v>
      </c>
      <c r="B217" s="7">
        <f>MONTH(Clean_Sales[[#This Row],[Order_Date]])</f>
        <v>6</v>
      </c>
      <c r="C217" s="6">
        <v>46193</v>
      </c>
      <c r="D217" s="1" t="s">
        <v>289</v>
      </c>
      <c r="E217" s="1" t="s">
        <v>124</v>
      </c>
      <c r="F217" s="1" t="s">
        <v>89</v>
      </c>
      <c r="G217" s="1" t="s">
        <v>90</v>
      </c>
      <c r="H217" s="1" t="s">
        <v>74</v>
      </c>
      <c r="I217">
        <v>8</v>
      </c>
      <c r="J217">
        <v>85</v>
      </c>
      <c r="K217">
        <v>48</v>
      </c>
      <c r="L217">
        <v>0.05</v>
      </c>
      <c r="M217" s="1" t="s">
        <v>23</v>
      </c>
      <c r="N217" s="1" t="s">
        <v>36</v>
      </c>
      <c r="O217">
        <v>48</v>
      </c>
      <c r="P217">
        <v>646</v>
      </c>
      <c r="Q217">
        <v>384</v>
      </c>
      <c r="R217">
        <v>262</v>
      </c>
      <c r="S217">
        <v>0.40557275541795701</v>
      </c>
    </row>
    <row r="218" spans="1:19" x14ac:dyDescent="0.3">
      <c r="A218" s="1" t="s">
        <v>539</v>
      </c>
      <c r="B218" s="7">
        <f>MONTH(Clean_Sales[[#This Row],[Order_Date]])</f>
        <v>2</v>
      </c>
      <c r="C218" s="6">
        <v>46065</v>
      </c>
      <c r="D218" s="1" t="s">
        <v>159</v>
      </c>
      <c r="E218" s="1" t="s">
        <v>50</v>
      </c>
      <c r="F218" s="1" t="s">
        <v>29</v>
      </c>
      <c r="G218" s="1" t="s">
        <v>30</v>
      </c>
      <c r="H218" s="1" t="s">
        <v>31</v>
      </c>
      <c r="I218">
        <v>5</v>
      </c>
      <c r="J218">
        <v>280</v>
      </c>
      <c r="K218">
        <v>190</v>
      </c>
      <c r="L218">
        <v>0.1</v>
      </c>
      <c r="M218" s="1" t="s">
        <v>46</v>
      </c>
      <c r="N218" s="1" t="s">
        <v>36</v>
      </c>
      <c r="O218">
        <v>190</v>
      </c>
      <c r="P218">
        <v>1260</v>
      </c>
      <c r="Q218">
        <v>950</v>
      </c>
      <c r="R218">
        <v>310</v>
      </c>
      <c r="S218">
        <v>0.24603174603174599</v>
      </c>
    </row>
    <row r="219" spans="1:19" x14ac:dyDescent="0.3">
      <c r="A219" s="1" t="s">
        <v>540</v>
      </c>
      <c r="B219" s="7">
        <f>MONTH(Clean_Sales[[#This Row],[Order_Date]])</f>
        <v>4</v>
      </c>
      <c r="C219" s="6">
        <v>46117</v>
      </c>
      <c r="D219" s="1" t="s">
        <v>345</v>
      </c>
      <c r="E219" s="1" t="s">
        <v>50</v>
      </c>
      <c r="F219" s="1" t="s">
        <v>64</v>
      </c>
      <c r="G219" s="1" t="s">
        <v>65</v>
      </c>
      <c r="H219" s="1" t="s">
        <v>42</v>
      </c>
      <c r="I219">
        <v>6</v>
      </c>
      <c r="J219">
        <v>360</v>
      </c>
      <c r="K219">
        <v>250</v>
      </c>
      <c r="L219">
        <v>0.1</v>
      </c>
      <c r="M219" s="1" t="s">
        <v>23</v>
      </c>
      <c r="N219" s="1" t="s">
        <v>36</v>
      </c>
      <c r="O219">
        <v>250</v>
      </c>
      <c r="P219">
        <v>1944</v>
      </c>
      <c r="Q219">
        <v>1500</v>
      </c>
      <c r="R219">
        <v>444</v>
      </c>
      <c r="S219">
        <v>0.22839506172839499</v>
      </c>
    </row>
    <row r="220" spans="1:19" x14ac:dyDescent="0.3">
      <c r="A220" s="1" t="s">
        <v>541</v>
      </c>
      <c r="B220" s="7">
        <f>MONTH(Clean_Sales[[#This Row],[Order_Date]])</f>
        <v>6</v>
      </c>
      <c r="C220" s="6">
        <v>46202</v>
      </c>
      <c r="D220" s="1" t="s">
        <v>454</v>
      </c>
      <c r="E220" s="1" t="s">
        <v>50</v>
      </c>
      <c r="F220" s="1" t="s">
        <v>51</v>
      </c>
      <c r="G220" s="1" t="s">
        <v>52</v>
      </c>
      <c r="H220" s="1" t="s">
        <v>42</v>
      </c>
      <c r="I220">
        <v>8</v>
      </c>
      <c r="J220">
        <v>310</v>
      </c>
      <c r="K220">
        <v>220</v>
      </c>
      <c r="L220">
        <v>0.05</v>
      </c>
      <c r="M220" s="1" t="s">
        <v>23</v>
      </c>
      <c r="N220" s="1" t="s">
        <v>36</v>
      </c>
      <c r="O220">
        <v>220</v>
      </c>
      <c r="P220">
        <v>2356</v>
      </c>
      <c r="Q220">
        <v>1760</v>
      </c>
      <c r="R220">
        <v>596</v>
      </c>
      <c r="S220">
        <v>0.25297113752122202</v>
      </c>
    </row>
    <row r="221" spans="1:19" x14ac:dyDescent="0.3">
      <c r="A221" s="1" t="s">
        <v>542</v>
      </c>
      <c r="B221" s="7">
        <f>MONTH(Clean_Sales[[#This Row],[Order_Date]])</f>
        <v>4</v>
      </c>
      <c r="C221" s="6">
        <v>46118</v>
      </c>
      <c r="D221" s="1" t="s">
        <v>216</v>
      </c>
      <c r="E221" s="1" t="s">
        <v>50</v>
      </c>
      <c r="F221" s="1" t="s">
        <v>29</v>
      </c>
      <c r="G221" s="1" t="s">
        <v>30</v>
      </c>
      <c r="H221" s="1" t="s">
        <v>31</v>
      </c>
      <c r="I221">
        <v>8</v>
      </c>
      <c r="J221">
        <v>280</v>
      </c>
      <c r="K221">
        <v>190</v>
      </c>
      <c r="L221">
        <v>0</v>
      </c>
      <c r="M221" s="1" t="s">
        <v>46</v>
      </c>
      <c r="N221" s="1" t="s">
        <v>36</v>
      </c>
      <c r="O221">
        <v>190</v>
      </c>
      <c r="P221">
        <v>2240</v>
      </c>
      <c r="Q221">
        <v>1520</v>
      </c>
      <c r="R221">
        <v>720</v>
      </c>
      <c r="S221">
        <v>0.32142857142857101</v>
      </c>
    </row>
    <row r="222" spans="1:19" x14ac:dyDescent="0.3">
      <c r="A222" s="1" t="s">
        <v>546</v>
      </c>
      <c r="B222" s="7">
        <f>MONTH(Clean_Sales[[#This Row],[Order_Date]])</f>
        <v>2</v>
      </c>
      <c r="C222" s="6">
        <v>46070</v>
      </c>
      <c r="D222" s="1" t="s">
        <v>322</v>
      </c>
      <c r="E222" s="1" t="s">
        <v>124</v>
      </c>
      <c r="F222" s="1" t="s">
        <v>64</v>
      </c>
      <c r="G222" s="1" t="s">
        <v>65</v>
      </c>
      <c r="H222" s="1" t="s">
        <v>42</v>
      </c>
      <c r="I222">
        <v>4</v>
      </c>
      <c r="J222">
        <v>360</v>
      </c>
      <c r="K222">
        <v>250</v>
      </c>
      <c r="L222">
        <v>0.15</v>
      </c>
      <c r="M222" s="1" t="s">
        <v>23</v>
      </c>
      <c r="N222" s="1" t="s">
        <v>36</v>
      </c>
      <c r="O222">
        <v>250</v>
      </c>
      <c r="P222">
        <v>1224</v>
      </c>
      <c r="Q222">
        <v>1000</v>
      </c>
      <c r="R222">
        <v>224</v>
      </c>
      <c r="S222">
        <v>0.18300653594771199</v>
      </c>
    </row>
    <row r="223" spans="1:19" x14ac:dyDescent="0.3">
      <c r="A223" s="1" t="s">
        <v>547</v>
      </c>
      <c r="B223" s="7">
        <f>MONTH(Clean_Sales[[#This Row],[Order_Date]])</f>
        <v>3</v>
      </c>
      <c r="C223" s="6">
        <v>46105</v>
      </c>
      <c r="D223" s="1" t="s">
        <v>478</v>
      </c>
      <c r="E223" s="1" t="s">
        <v>28</v>
      </c>
      <c r="F223" s="1" t="s">
        <v>89</v>
      </c>
      <c r="G223" s="1" t="s">
        <v>90</v>
      </c>
      <c r="H223" s="1" t="s">
        <v>74</v>
      </c>
      <c r="I223">
        <v>8</v>
      </c>
      <c r="J223">
        <v>85</v>
      </c>
      <c r="K223">
        <v>48</v>
      </c>
      <c r="L223">
        <v>0.05</v>
      </c>
      <c r="M223" s="1" t="s">
        <v>23</v>
      </c>
      <c r="N223" s="1" t="s">
        <v>36</v>
      </c>
      <c r="O223">
        <v>48</v>
      </c>
      <c r="P223">
        <v>646</v>
      </c>
      <c r="Q223">
        <v>384</v>
      </c>
      <c r="R223">
        <v>262</v>
      </c>
      <c r="S223">
        <v>0.40557275541795701</v>
      </c>
    </row>
    <row r="224" spans="1:19" x14ac:dyDescent="0.3">
      <c r="A224" s="1" t="s">
        <v>548</v>
      </c>
      <c r="B224" s="7">
        <f>MONTH(Clean_Sales[[#This Row],[Order_Date]])</f>
        <v>1</v>
      </c>
      <c r="C224" s="6">
        <v>46041</v>
      </c>
      <c r="D224" s="1" t="s">
        <v>293</v>
      </c>
      <c r="E224" s="1" t="s">
        <v>59</v>
      </c>
      <c r="F224" s="1" t="s">
        <v>72</v>
      </c>
      <c r="G224" s="1" t="s">
        <v>73</v>
      </c>
      <c r="H224" s="1" t="s">
        <v>74</v>
      </c>
      <c r="I224">
        <v>6</v>
      </c>
      <c r="J224">
        <v>65</v>
      </c>
      <c r="K224">
        <v>35</v>
      </c>
      <c r="L224">
        <v>0.15</v>
      </c>
      <c r="M224" s="1" t="s">
        <v>23</v>
      </c>
      <c r="N224" s="1" t="s">
        <v>36</v>
      </c>
      <c r="O224">
        <v>35</v>
      </c>
      <c r="P224">
        <v>331.5</v>
      </c>
      <c r="Q224">
        <v>210</v>
      </c>
      <c r="R224">
        <v>121.5</v>
      </c>
      <c r="S224">
        <v>0.36651583710407198</v>
      </c>
    </row>
    <row r="225" spans="1:19" x14ac:dyDescent="0.3">
      <c r="A225" s="1" t="s">
        <v>549</v>
      </c>
      <c r="B225" s="7">
        <f>MONTH(Clean_Sales[[#This Row],[Order_Date]])</f>
        <v>3</v>
      </c>
      <c r="C225" s="6">
        <v>46102</v>
      </c>
      <c r="D225" s="1" t="s">
        <v>169</v>
      </c>
      <c r="E225" s="1" t="s">
        <v>59</v>
      </c>
      <c r="F225" s="1" t="s">
        <v>29</v>
      </c>
      <c r="G225" s="1" t="s">
        <v>30</v>
      </c>
      <c r="H225" s="1" t="s">
        <v>31</v>
      </c>
      <c r="I225">
        <v>1</v>
      </c>
      <c r="J225">
        <v>280</v>
      </c>
      <c r="K225">
        <v>190</v>
      </c>
      <c r="L225">
        <v>0.05</v>
      </c>
      <c r="M225" s="1" t="s">
        <v>23</v>
      </c>
      <c r="N225" s="1" t="s">
        <v>36</v>
      </c>
      <c r="O225">
        <v>190</v>
      </c>
      <c r="P225">
        <v>266</v>
      </c>
      <c r="Q225">
        <v>190</v>
      </c>
      <c r="R225">
        <v>76</v>
      </c>
      <c r="S225">
        <v>0.28571428571428598</v>
      </c>
    </row>
    <row r="226" spans="1:19" x14ac:dyDescent="0.3">
      <c r="A226" s="1" t="s">
        <v>550</v>
      </c>
      <c r="B226" s="7">
        <f>MONTH(Clean_Sales[[#This Row],[Order_Date]])</f>
        <v>4</v>
      </c>
      <c r="C226" s="6">
        <v>46124</v>
      </c>
      <c r="D226" s="1" t="s">
        <v>213</v>
      </c>
      <c r="E226" s="1" t="s">
        <v>50</v>
      </c>
      <c r="F226" s="1" t="s">
        <v>89</v>
      </c>
      <c r="G226" s="1" t="s">
        <v>90</v>
      </c>
      <c r="H226" s="1" t="s">
        <v>74</v>
      </c>
      <c r="I226">
        <v>2</v>
      </c>
      <c r="J226">
        <v>85</v>
      </c>
      <c r="K226">
        <v>48</v>
      </c>
      <c r="L226">
        <v>0.05</v>
      </c>
      <c r="M226" s="1" t="s">
        <v>23</v>
      </c>
      <c r="N226" s="1" t="s">
        <v>36</v>
      </c>
      <c r="O226">
        <v>48</v>
      </c>
      <c r="P226">
        <v>161.5</v>
      </c>
      <c r="Q226">
        <v>96</v>
      </c>
      <c r="R226">
        <v>65.5</v>
      </c>
      <c r="S226">
        <v>0.40557275541795701</v>
      </c>
    </row>
    <row r="227" spans="1:19" x14ac:dyDescent="0.3">
      <c r="A227" s="1" t="s">
        <v>551</v>
      </c>
      <c r="B227" s="7">
        <f>MONTH(Clean_Sales[[#This Row],[Order_Date]])</f>
        <v>6</v>
      </c>
      <c r="C227" s="6">
        <v>46174</v>
      </c>
      <c r="D227" s="1" t="s">
        <v>159</v>
      </c>
      <c r="E227" s="1" t="s">
        <v>28</v>
      </c>
      <c r="F227" s="1" t="s">
        <v>17</v>
      </c>
      <c r="G227" s="1" t="s">
        <v>18</v>
      </c>
      <c r="H227" s="1" t="s">
        <v>74</v>
      </c>
      <c r="I227">
        <v>1</v>
      </c>
      <c r="J227">
        <v>25</v>
      </c>
      <c r="K227">
        <v>12</v>
      </c>
      <c r="L227">
        <v>0.1</v>
      </c>
      <c r="M227" s="1" t="s">
        <v>46</v>
      </c>
      <c r="N227" s="1" t="s">
        <v>36</v>
      </c>
      <c r="O227">
        <v>12</v>
      </c>
      <c r="P227">
        <v>22.5</v>
      </c>
      <c r="Q227">
        <v>12</v>
      </c>
      <c r="R227">
        <v>10.5</v>
      </c>
      <c r="S227">
        <v>0.46666666666666701</v>
      </c>
    </row>
    <row r="228" spans="1:19" x14ac:dyDescent="0.3">
      <c r="A228" s="1" t="s">
        <v>552</v>
      </c>
      <c r="B228" s="7">
        <f>MONTH(Clean_Sales[[#This Row],[Order_Date]])</f>
        <v>3</v>
      </c>
      <c r="C228" s="6">
        <v>46089</v>
      </c>
      <c r="D228" s="1" t="s">
        <v>513</v>
      </c>
      <c r="E228" s="1" t="s">
        <v>124</v>
      </c>
      <c r="F228" s="1" t="s">
        <v>29</v>
      </c>
      <c r="G228" s="1" t="s">
        <v>30</v>
      </c>
      <c r="H228" s="1" t="s">
        <v>31</v>
      </c>
      <c r="I228">
        <v>8</v>
      </c>
      <c r="J228">
        <v>280</v>
      </c>
      <c r="K228">
        <v>190</v>
      </c>
      <c r="L228">
        <v>0</v>
      </c>
      <c r="M228" s="1" t="s">
        <v>23</v>
      </c>
      <c r="N228" s="1" t="s">
        <v>36</v>
      </c>
      <c r="O228">
        <v>190</v>
      </c>
      <c r="P228">
        <v>2240</v>
      </c>
      <c r="Q228">
        <v>1520</v>
      </c>
      <c r="R228">
        <v>720</v>
      </c>
      <c r="S228">
        <v>0.32142857142857101</v>
      </c>
    </row>
    <row r="229" spans="1:19" x14ac:dyDescent="0.3">
      <c r="A229" s="1" t="s">
        <v>553</v>
      </c>
      <c r="B229" s="7">
        <f>MONTH(Clean_Sales[[#This Row],[Order_Date]])</f>
        <v>4</v>
      </c>
      <c r="C229" s="6">
        <v>46115</v>
      </c>
      <c r="D229" s="1" t="s">
        <v>27</v>
      </c>
      <c r="E229" s="1" t="s">
        <v>59</v>
      </c>
      <c r="F229" s="1" t="s">
        <v>17</v>
      </c>
      <c r="G229" s="1" t="s">
        <v>18</v>
      </c>
      <c r="H229" s="1" t="s">
        <v>74</v>
      </c>
      <c r="I229">
        <v>6</v>
      </c>
      <c r="J229">
        <v>25</v>
      </c>
      <c r="K229">
        <v>12</v>
      </c>
      <c r="L229">
        <v>0.05</v>
      </c>
      <c r="M229" s="1" t="s">
        <v>46</v>
      </c>
      <c r="N229" s="1" t="s">
        <v>36</v>
      </c>
      <c r="O229">
        <v>12</v>
      </c>
      <c r="P229">
        <v>142.5</v>
      </c>
      <c r="Q229">
        <v>72</v>
      </c>
      <c r="R229">
        <v>70.5</v>
      </c>
      <c r="S229">
        <v>0.49473684210526298</v>
      </c>
    </row>
    <row r="230" spans="1:19" x14ac:dyDescent="0.3">
      <c r="A230" s="1" t="s">
        <v>554</v>
      </c>
      <c r="B230" s="7">
        <f>MONTH(Clean_Sales[[#This Row],[Order_Date]])</f>
        <v>4</v>
      </c>
      <c r="C230" s="6">
        <v>46114</v>
      </c>
      <c r="D230" s="1" t="s">
        <v>481</v>
      </c>
      <c r="E230" s="1" t="s">
        <v>28</v>
      </c>
      <c r="F230" s="1" t="s">
        <v>64</v>
      </c>
      <c r="G230" s="1" t="s">
        <v>65</v>
      </c>
      <c r="H230" s="1" t="s">
        <v>42</v>
      </c>
      <c r="I230">
        <v>6</v>
      </c>
      <c r="J230">
        <v>360</v>
      </c>
      <c r="K230">
        <v>250</v>
      </c>
      <c r="L230">
        <v>0.1</v>
      </c>
      <c r="M230" s="1" t="s">
        <v>46</v>
      </c>
      <c r="N230" s="1" t="s">
        <v>36</v>
      </c>
      <c r="O230">
        <v>250</v>
      </c>
      <c r="P230">
        <v>1944</v>
      </c>
      <c r="Q230">
        <v>1500</v>
      </c>
      <c r="R230">
        <v>444</v>
      </c>
      <c r="S230">
        <v>0.22839506172839499</v>
      </c>
    </row>
    <row r="231" spans="1:19" x14ac:dyDescent="0.3">
      <c r="A231" s="1" t="s">
        <v>555</v>
      </c>
      <c r="B231" s="7">
        <f>MONTH(Clean_Sales[[#This Row],[Order_Date]])</f>
        <v>1</v>
      </c>
      <c r="C231" s="6">
        <v>46041</v>
      </c>
      <c r="D231" s="1" t="s">
        <v>528</v>
      </c>
      <c r="E231" s="1" t="s">
        <v>59</v>
      </c>
      <c r="F231" s="1" t="s">
        <v>17</v>
      </c>
      <c r="G231" s="1" t="s">
        <v>18</v>
      </c>
      <c r="H231" s="1" t="s">
        <v>74</v>
      </c>
      <c r="I231">
        <v>8</v>
      </c>
      <c r="J231">
        <v>25</v>
      </c>
      <c r="K231">
        <v>12</v>
      </c>
      <c r="L231">
        <v>0.05</v>
      </c>
      <c r="M231" s="1" t="s">
        <v>46</v>
      </c>
      <c r="N231" s="1" t="s">
        <v>36</v>
      </c>
      <c r="O231">
        <v>12</v>
      </c>
      <c r="P231">
        <v>190</v>
      </c>
      <c r="Q231">
        <v>96</v>
      </c>
      <c r="R231">
        <v>94</v>
      </c>
      <c r="S231">
        <v>0.49473684210526298</v>
      </c>
    </row>
    <row r="232" spans="1:19" x14ac:dyDescent="0.3">
      <c r="A232" s="1" t="s">
        <v>556</v>
      </c>
      <c r="B232" s="7">
        <f>MONTH(Clean_Sales[[#This Row],[Order_Date]])</f>
        <v>2</v>
      </c>
      <c r="C232" s="6">
        <v>46076</v>
      </c>
      <c r="D232" s="1" t="s">
        <v>202</v>
      </c>
      <c r="E232" s="1" t="s">
        <v>50</v>
      </c>
      <c r="F232" s="1" t="s">
        <v>51</v>
      </c>
      <c r="G232" s="1" t="s">
        <v>52</v>
      </c>
      <c r="H232" s="1" t="s">
        <v>42</v>
      </c>
      <c r="I232">
        <v>1</v>
      </c>
      <c r="J232">
        <v>310</v>
      </c>
      <c r="K232">
        <v>220</v>
      </c>
      <c r="L232">
        <v>0.15</v>
      </c>
      <c r="M232" s="1" t="s">
        <v>46</v>
      </c>
      <c r="N232" s="1" t="s">
        <v>36</v>
      </c>
      <c r="O232">
        <v>220</v>
      </c>
      <c r="P232">
        <v>263.5</v>
      </c>
      <c r="Q232">
        <v>220</v>
      </c>
      <c r="R232">
        <v>43.5</v>
      </c>
      <c r="S232">
        <v>0.165085388994307</v>
      </c>
    </row>
    <row r="233" spans="1:19" x14ac:dyDescent="0.3">
      <c r="A233" s="1" t="s">
        <v>558</v>
      </c>
      <c r="B233" s="7">
        <f>MONTH(Clean_Sales[[#This Row],[Order_Date]])</f>
        <v>1</v>
      </c>
      <c r="C233" s="6">
        <v>46043</v>
      </c>
      <c r="D233" s="1" t="s">
        <v>235</v>
      </c>
      <c r="E233" s="1" t="s">
        <v>59</v>
      </c>
      <c r="F233" s="1" t="s">
        <v>17</v>
      </c>
      <c r="G233" s="1" t="s">
        <v>18</v>
      </c>
      <c r="H233" s="1" t="s">
        <v>74</v>
      </c>
      <c r="I233">
        <v>4</v>
      </c>
      <c r="J233">
        <v>25</v>
      </c>
      <c r="K233">
        <v>12</v>
      </c>
      <c r="L233">
        <v>0.1</v>
      </c>
      <c r="M233" s="1" t="s">
        <v>23</v>
      </c>
      <c r="N233" s="1" t="s">
        <v>36</v>
      </c>
      <c r="O233">
        <v>12</v>
      </c>
      <c r="P233">
        <v>90</v>
      </c>
      <c r="Q233">
        <v>48</v>
      </c>
      <c r="R233">
        <v>42</v>
      </c>
      <c r="S233">
        <v>0.46666666666666701</v>
      </c>
    </row>
    <row r="234" spans="1:19" x14ac:dyDescent="0.3">
      <c r="A234" s="1" t="s">
        <v>559</v>
      </c>
      <c r="B234" s="7">
        <f>MONTH(Clean_Sales[[#This Row],[Order_Date]])</f>
        <v>3</v>
      </c>
      <c r="C234" s="6">
        <v>46104</v>
      </c>
      <c r="D234" s="1" t="s">
        <v>15</v>
      </c>
      <c r="E234" s="1" t="s">
        <v>50</v>
      </c>
      <c r="F234" s="1" t="s">
        <v>17</v>
      </c>
      <c r="G234" s="1" t="s">
        <v>18</v>
      </c>
      <c r="H234" s="1" t="s">
        <v>74</v>
      </c>
      <c r="I234">
        <v>2</v>
      </c>
      <c r="J234">
        <v>25</v>
      </c>
      <c r="K234">
        <v>12</v>
      </c>
      <c r="L234">
        <v>0</v>
      </c>
      <c r="M234" s="1" t="s">
        <v>46</v>
      </c>
      <c r="N234" s="1" t="s">
        <v>36</v>
      </c>
      <c r="O234">
        <v>12</v>
      </c>
      <c r="P234">
        <v>50</v>
      </c>
      <c r="Q234">
        <v>24</v>
      </c>
      <c r="R234">
        <v>26</v>
      </c>
      <c r="S234">
        <v>0.52</v>
      </c>
    </row>
    <row r="235" spans="1:19" x14ac:dyDescent="0.3">
      <c r="A235" s="1" t="s">
        <v>561</v>
      </c>
      <c r="B235" s="7">
        <f>MONTH(Clean_Sales[[#This Row],[Order_Date]])</f>
        <v>6</v>
      </c>
      <c r="C235" s="6">
        <v>46200</v>
      </c>
      <c r="D235" s="1" t="s">
        <v>71</v>
      </c>
      <c r="E235" s="1" t="s">
        <v>50</v>
      </c>
      <c r="F235" s="1" t="s">
        <v>51</v>
      </c>
      <c r="G235" s="1" t="s">
        <v>52</v>
      </c>
      <c r="H235" s="1" t="s">
        <v>42</v>
      </c>
      <c r="I235">
        <v>1</v>
      </c>
      <c r="J235">
        <v>310</v>
      </c>
      <c r="K235">
        <v>220</v>
      </c>
      <c r="L235">
        <v>0</v>
      </c>
      <c r="M235" s="1" t="s">
        <v>46</v>
      </c>
      <c r="N235" s="1" t="s">
        <v>36</v>
      </c>
      <c r="O235">
        <v>220</v>
      </c>
      <c r="P235">
        <v>310</v>
      </c>
      <c r="Q235">
        <v>220</v>
      </c>
      <c r="R235">
        <v>90</v>
      </c>
      <c r="S235">
        <v>0.29032258064516098</v>
      </c>
    </row>
    <row r="236" spans="1:19" x14ac:dyDescent="0.3">
      <c r="A236" s="1" t="s">
        <v>562</v>
      </c>
      <c r="B236" s="7">
        <f>MONTH(Clean_Sales[[#This Row],[Order_Date]])</f>
        <v>1</v>
      </c>
      <c r="C236" s="6">
        <v>46046</v>
      </c>
      <c r="D236" s="1" t="s">
        <v>371</v>
      </c>
      <c r="E236" s="1" t="s">
        <v>59</v>
      </c>
      <c r="F236" s="1" t="s">
        <v>40</v>
      </c>
      <c r="G236" s="1" t="s">
        <v>41</v>
      </c>
      <c r="H236" s="1" t="s">
        <v>42</v>
      </c>
      <c r="I236">
        <v>6</v>
      </c>
      <c r="J236">
        <v>1250</v>
      </c>
      <c r="K236">
        <v>940</v>
      </c>
      <c r="L236">
        <v>0</v>
      </c>
      <c r="M236" s="1" t="s">
        <v>23</v>
      </c>
      <c r="N236" s="1" t="s">
        <v>36</v>
      </c>
      <c r="O236">
        <v>940</v>
      </c>
      <c r="P236">
        <v>7500</v>
      </c>
      <c r="Q236">
        <v>5640</v>
      </c>
      <c r="R236">
        <v>1860</v>
      </c>
      <c r="S236">
        <v>0.248</v>
      </c>
    </row>
    <row r="237" spans="1:19" x14ac:dyDescent="0.3">
      <c r="A237" s="1" t="s">
        <v>563</v>
      </c>
      <c r="B237" s="7">
        <f>MONTH(Clean_Sales[[#This Row],[Order_Date]])</f>
        <v>1</v>
      </c>
      <c r="C237" s="6">
        <v>46043</v>
      </c>
      <c r="D237" s="1" t="s">
        <v>148</v>
      </c>
      <c r="E237" s="1" t="s">
        <v>50</v>
      </c>
      <c r="F237" s="1" t="s">
        <v>40</v>
      </c>
      <c r="G237" s="1" t="s">
        <v>41</v>
      </c>
      <c r="H237" s="1" t="s">
        <v>42</v>
      </c>
      <c r="I237">
        <v>7</v>
      </c>
      <c r="J237">
        <v>1250</v>
      </c>
      <c r="K237">
        <v>940</v>
      </c>
      <c r="L237">
        <v>0</v>
      </c>
      <c r="M237" s="1" t="s">
        <v>46</v>
      </c>
      <c r="N237" s="1" t="s">
        <v>36</v>
      </c>
      <c r="O237">
        <v>940</v>
      </c>
      <c r="P237">
        <v>8750</v>
      </c>
      <c r="Q237">
        <v>6580</v>
      </c>
      <c r="R237">
        <v>2170</v>
      </c>
      <c r="S237">
        <v>0.248</v>
      </c>
    </row>
    <row r="238" spans="1:19" x14ac:dyDescent="0.3">
      <c r="A238" s="1" t="s">
        <v>564</v>
      </c>
      <c r="B238" s="7">
        <f>MONTH(Clean_Sales[[#This Row],[Order_Date]])</f>
        <v>1</v>
      </c>
      <c r="C238" s="6">
        <v>46026</v>
      </c>
      <c r="D238" s="1" t="s">
        <v>382</v>
      </c>
      <c r="E238" s="1" t="s">
        <v>124</v>
      </c>
      <c r="F238" s="1" t="s">
        <v>64</v>
      </c>
      <c r="G238" s="1" t="s">
        <v>65</v>
      </c>
      <c r="H238" s="1" t="s">
        <v>42</v>
      </c>
      <c r="I238">
        <v>4</v>
      </c>
      <c r="J238">
        <v>360</v>
      </c>
      <c r="K238">
        <v>250</v>
      </c>
      <c r="L238">
        <v>0.05</v>
      </c>
      <c r="M238" s="1" t="s">
        <v>46</v>
      </c>
      <c r="N238" s="1" t="s">
        <v>36</v>
      </c>
      <c r="O238">
        <v>250</v>
      </c>
      <c r="P238">
        <v>1368</v>
      </c>
      <c r="Q238">
        <v>1000</v>
      </c>
      <c r="R238">
        <v>368</v>
      </c>
      <c r="S238">
        <v>0.26900584795321603</v>
      </c>
    </row>
    <row r="239" spans="1:19" x14ac:dyDescent="0.3">
      <c r="A239" s="1" t="s">
        <v>565</v>
      </c>
      <c r="B239" s="7">
        <f>MONTH(Clean_Sales[[#This Row],[Order_Date]])</f>
        <v>6</v>
      </c>
      <c r="C239" s="6">
        <v>46199</v>
      </c>
      <c r="D239" s="1" t="s">
        <v>120</v>
      </c>
      <c r="E239" s="1" t="s">
        <v>59</v>
      </c>
      <c r="F239" s="1" t="s">
        <v>17</v>
      </c>
      <c r="G239" s="1" t="s">
        <v>18</v>
      </c>
      <c r="H239" s="1" t="s">
        <v>74</v>
      </c>
      <c r="I239">
        <v>5</v>
      </c>
      <c r="J239">
        <v>25</v>
      </c>
      <c r="K239">
        <v>12</v>
      </c>
      <c r="L239">
        <v>0.1</v>
      </c>
      <c r="M239" s="1" t="s">
        <v>23</v>
      </c>
      <c r="N239" s="1" t="s">
        <v>36</v>
      </c>
      <c r="O239">
        <v>12</v>
      </c>
      <c r="P239">
        <v>112.5</v>
      </c>
      <c r="Q239">
        <v>60</v>
      </c>
      <c r="R239">
        <v>52.5</v>
      </c>
      <c r="S239">
        <v>0.46666666666666701</v>
      </c>
    </row>
    <row r="240" spans="1:19" x14ac:dyDescent="0.3">
      <c r="A240" s="1" t="s">
        <v>566</v>
      </c>
      <c r="B240" s="7">
        <f>MONTH(Clean_Sales[[#This Row],[Order_Date]])</f>
        <v>3</v>
      </c>
      <c r="C240" s="6">
        <v>46090</v>
      </c>
      <c r="D240" s="1" t="s">
        <v>105</v>
      </c>
      <c r="E240" s="1" t="s">
        <v>50</v>
      </c>
      <c r="F240" s="1" t="s">
        <v>17</v>
      </c>
      <c r="G240" s="1" t="s">
        <v>18</v>
      </c>
      <c r="H240" s="1" t="s">
        <v>74</v>
      </c>
      <c r="I240">
        <v>3</v>
      </c>
      <c r="J240">
        <v>25</v>
      </c>
      <c r="K240">
        <v>12</v>
      </c>
      <c r="L240">
        <v>0.15</v>
      </c>
      <c r="M240" s="1" t="s">
        <v>23</v>
      </c>
      <c r="N240" s="1" t="s">
        <v>36</v>
      </c>
      <c r="O240">
        <v>12</v>
      </c>
      <c r="P240">
        <v>63.75</v>
      </c>
      <c r="Q240">
        <v>36</v>
      </c>
      <c r="R240">
        <v>27.75</v>
      </c>
      <c r="S240">
        <v>0.435294117647059</v>
      </c>
    </row>
    <row r="241" spans="1:19" x14ac:dyDescent="0.3">
      <c r="A241" s="1" t="s">
        <v>567</v>
      </c>
      <c r="B241" s="7">
        <f>MONTH(Clean_Sales[[#This Row],[Order_Date]])</f>
        <v>1</v>
      </c>
      <c r="C241" s="6">
        <v>46048</v>
      </c>
      <c r="D241" s="1" t="s">
        <v>410</v>
      </c>
      <c r="E241" s="1" t="s">
        <v>50</v>
      </c>
      <c r="F241" s="1" t="s">
        <v>40</v>
      </c>
      <c r="G241" s="1" t="s">
        <v>41</v>
      </c>
      <c r="H241" s="1" t="s">
        <v>42</v>
      </c>
      <c r="I241">
        <v>6</v>
      </c>
      <c r="J241">
        <v>1250</v>
      </c>
      <c r="K241">
        <v>940</v>
      </c>
      <c r="L241">
        <v>0.05</v>
      </c>
      <c r="M241" s="1" t="s">
        <v>23</v>
      </c>
      <c r="N241" s="1" t="s">
        <v>36</v>
      </c>
      <c r="O241">
        <v>940</v>
      </c>
      <c r="P241">
        <v>7125</v>
      </c>
      <c r="Q241">
        <v>5640</v>
      </c>
      <c r="R241">
        <v>1485</v>
      </c>
      <c r="S241">
        <v>0.20842105263157901</v>
      </c>
    </row>
    <row r="242" spans="1:19" x14ac:dyDescent="0.3">
      <c r="A242" s="1" t="s">
        <v>568</v>
      </c>
      <c r="B242" s="7">
        <f>MONTH(Clean_Sales[[#This Row],[Order_Date]])</f>
        <v>1</v>
      </c>
      <c r="C242" s="6">
        <v>46040</v>
      </c>
      <c r="D242" s="1" t="s">
        <v>536</v>
      </c>
      <c r="E242" s="1" t="s">
        <v>28</v>
      </c>
      <c r="F242" s="1" t="s">
        <v>51</v>
      </c>
      <c r="G242" s="1" t="s">
        <v>52</v>
      </c>
      <c r="H242" s="1" t="s">
        <v>42</v>
      </c>
      <c r="I242">
        <v>1</v>
      </c>
      <c r="J242">
        <v>310</v>
      </c>
      <c r="K242">
        <v>220</v>
      </c>
      <c r="L242">
        <v>0</v>
      </c>
      <c r="M242" s="1" t="s">
        <v>46</v>
      </c>
      <c r="N242" s="1" t="s">
        <v>36</v>
      </c>
      <c r="O242">
        <v>220</v>
      </c>
      <c r="P242">
        <v>310</v>
      </c>
      <c r="Q242">
        <v>220</v>
      </c>
      <c r="R242">
        <v>90</v>
      </c>
      <c r="S242">
        <v>0.29032258064516098</v>
      </c>
    </row>
    <row r="243" spans="1:19" x14ac:dyDescent="0.3">
      <c r="A243" s="1" t="s">
        <v>569</v>
      </c>
      <c r="B243" s="7">
        <f>MONTH(Clean_Sales[[#This Row],[Order_Date]])</f>
        <v>3</v>
      </c>
      <c r="C243" s="6">
        <v>46086</v>
      </c>
      <c r="D243" s="1" t="s">
        <v>117</v>
      </c>
      <c r="E243" s="1" t="s">
        <v>59</v>
      </c>
      <c r="F243" s="1" t="s">
        <v>106</v>
      </c>
      <c r="G243" s="1" t="s">
        <v>107</v>
      </c>
      <c r="H243" s="1" t="s">
        <v>31</v>
      </c>
      <c r="I243">
        <v>1</v>
      </c>
      <c r="J243">
        <v>190</v>
      </c>
      <c r="K243">
        <v>115</v>
      </c>
      <c r="L243">
        <v>0.1</v>
      </c>
      <c r="M243" s="1" t="s">
        <v>46</v>
      </c>
      <c r="N243" s="1" t="s">
        <v>36</v>
      </c>
      <c r="O243">
        <v>115</v>
      </c>
      <c r="P243">
        <v>171</v>
      </c>
      <c r="Q243">
        <v>115</v>
      </c>
      <c r="R243">
        <v>56</v>
      </c>
      <c r="S243">
        <v>0.32748538011695899</v>
      </c>
    </row>
    <row r="244" spans="1:19" x14ac:dyDescent="0.3">
      <c r="A244" s="1" t="s">
        <v>570</v>
      </c>
      <c r="B244" s="7">
        <f>MONTH(Clean_Sales[[#This Row],[Order_Date]])</f>
        <v>5</v>
      </c>
      <c r="C244" s="6">
        <v>46166</v>
      </c>
      <c r="D244" s="1" t="s">
        <v>382</v>
      </c>
      <c r="E244" s="1" t="s">
        <v>50</v>
      </c>
      <c r="F244" s="1" t="s">
        <v>51</v>
      </c>
      <c r="G244" s="1" t="s">
        <v>52</v>
      </c>
      <c r="H244" s="1" t="s">
        <v>42</v>
      </c>
      <c r="I244">
        <v>1</v>
      </c>
      <c r="J244">
        <v>310</v>
      </c>
      <c r="K244">
        <v>220</v>
      </c>
      <c r="L244">
        <v>0.05</v>
      </c>
      <c r="M244" s="1" t="s">
        <v>46</v>
      </c>
      <c r="N244" s="1" t="s">
        <v>36</v>
      </c>
      <c r="O244">
        <v>220</v>
      </c>
      <c r="P244">
        <v>294.5</v>
      </c>
      <c r="Q244">
        <v>220</v>
      </c>
      <c r="R244">
        <v>74.5</v>
      </c>
      <c r="S244">
        <v>0.25297113752122202</v>
      </c>
    </row>
    <row r="245" spans="1:19" x14ac:dyDescent="0.3">
      <c r="A245" s="1" t="s">
        <v>576</v>
      </c>
      <c r="B245" s="7">
        <f>MONTH(Clean_Sales[[#This Row],[Order_Date]])</f>
        <v>1</v>
      </c>
      <c r="C245" s="6">
        <v>46049</v>
      </c>
      <c r="D245" s="1" t="s">
        <v>155</v>
      </c>
      <c r="E245" s="1" t="s">
        <v>28</v>
      </c>
      <c r="F245" s="1" t="s">
        <v>17</v>
      </c>
      <c r="G245" s="1" t="s">
        <v>18</v>
      </c>
      <c r="H245" s="1" t="s">
        <v>74</v>
      </c>
      <c r="I245">
        <v>7</v>
      </c>
      <c r="J245">
        <v>25</v>
      </c>
      <c r="K245">
        <v>12</v>
      </c>
      <c r="L245">
        <v>0.1</v>
      </c>
      <c r="M245" s="1" t="s">
        <v>23</v>
      </c>
      <c r="N245" s="1" t="s">
        <v>36</v>
      </c>
      <c r="O245">
        <v>12</v>
      </c>
      <c r="P245">
        <v>157.5</v>
      </c>
      <c r="Q245">
        <v>84</v>
      </c>
      <c r="R245">
        <v>73.5</v>
      </c>
      <c r="S245">
        <v>0.46666666666666701</v>
      </c>
    </row>
    <row r="246" spans="1:19" x14ac:dyDescent="0.3">
      <c r="A246" s="1" t="s">
        <v>578</v>
      </c>
      <c r="B246" s="7">
        <f>MONTH(Clean_Sales[[#This Row],[Order_Date]])</f>
        <v>3</v>
      </c>
      <c r="C246" s="6">
        <v>46099</v>
      </c>
      <c r="D246" s="1" t="s">
        <v>579</v>
      </c>
      <c r="E246" s="1" t="s">
        <v>50</v>
      </c>
      <c r="F246" s="1" t="s">
        <v>72</v>
      </c>
      <c r="G246" s="1" t="s">
        <v>73</v>
      </c>
      <c r="H246" s="1" t="s">
        <v>74</v>
      </c>
      <c r="I246">
        <v>3</v>
      </c>
      <c r="J246">
        <v>65</v>
      </c>
      <c r="K246">
        <v>35</v>
      </c>
      <c r="L246">
        <v>0.05</v>
      </c>
      <c r="M246" s="1" t="s">
        <v>23</v>
      </c>
      <c r="N246" s="1" t="s">
        <v>36</v>
      </c>
      <c r="O246">
        <v>35</v>
      </c>
      <c r="P246">
        <v>185.25</v>
      </c>
      <c r="Q246">
        <v>105</v>
      </c>
      <c r="R246">
        <v>80.25</v>
      </c>
      <c r="S246">
        <v>0.43319838056680199</v>
      </c>
    </row>
    <row r="247" spans="1:19" x14ac:dyDescent="0.3">
      <c r="A247" s="1" t="s">
        <v>580</v>
      </c>
      <c r="B247" s="7">
        <f>MONTH(Clean_Sales[[#This Row],[Order_Date]])</f>
        <v>4</v>
      </c>
      <c r="C247" s="6">
        <v>46138</v>
      </c>
      <c r="D247" s="1" t="s">
        <v>305</v>
      </c>
      <c r="E247" s="1" t="s">
        <v>28</v>
      </c>
      <c r="F247" s="1" t="s">
        <v>64</v>
      </c>
      <c r="G247" s="1" t="s">
        <v>65</v>
      </c>
      <c r="H247" s="1" t="s">
        <v>42</v>
      </c>
      <c r="I247">
        <v>8</v>
      </c>
      <c r="J247">
        <v>360</v>
      </c>
      <c r="K247">
        <v>250</v>
      </c>
      <c r="L247">
        <v>0.1</v>
      </c>
      <c r="M247" s="1" t="s">
        <v>46</v>
      </c>
      <c r="N247" s="1" t="s">
        <v>36</v>
      </c>
      <c r="O247">
        <v>250</v>
      </c>
      <c r="P247">
        <v>2592</v>
      </c>
      <c r="Q247">
        <v>2000</v>
      </c>
      <c r="R247">
        <v>592</v>
      </c>
      <c r="S247">
        <v>0.22839506172839499</v>
      </c>
    </row>
    <row r="248" spans="1:19" x14ac:dyDescent="0.3">
      <c r="A248" s="1" t="s">
        <v>582</v>
      </c>
      <c r="B248" s="7">
        <f>MONTH(Clean_Sales[[#This Row],[Order_Date]])</f>
        <v>4</v>
      </c>
      <c r="C248" s="6">
        <v>46141</v>
      </c>
      <c r="D248" s="1" t="s">
        <v>111</v>
      </c>
      <c r="E248" s="1" t="s">
        <v>59</v>
      </c>
      <c r="F248" s="1" t="s">
        <v>17</v>
      </c>
      <c r="G248" s="1" t="s">
        <v>18</v>
      </c>
      <c r="H248" s="1" t="s">
        <v>74</v>
      </c>
      <c r="I248">
        <v>8</v>
      </c>
      <c r="J248">
        <v>25</v>
      </c>
      <c r="K248">
        <v>12</v>
      </c>
      <c r="L248">
        <v>0</v>
      </c>
      <c r="M248" s="1" t="s">
        <v>23</v>
      </c>
      <c r="N248" s="1" t="s">
        <v>36</v>
      </c>
      <c r="O248">
        <v>12</v>
      </c>
      <c r="P248">
        <v>200</v>
      </c>
      <c r="Q248">
        <v>96</v>
      </c>
      <c r="R248">
        <v>104</v>
      </c>
      <c r="S248">
        <v>0.52</v>
      </c>
    </row>
    <row r="249" spans="1:19" x14ac:dyDescent="0.3">
      <c r="A249" s="1" t="s">
        <v>583</v>
      </c>
      <c r="B249" s="7">
        <f>MONTH(Clean_Sales[[#This Row],[Order_Date]])</f>
        <v>1</v>
      </c>
      <c r="C249" s="6">
        <v>46049</v>
      </c>
      <c r="D249" s="1" t="s">
        <v>263</v>
      </c>
      <c r="E249" s="1" t="s">
        <v>28</v>
      </c>
      <c r="F249" s="1" t="s">
        <v>64</v>
      </c>
      <c r="G249" s="1" t="s">
        <v>65</v>
      </c>
      <c r="H249" s="1" t="s">
        <v>42</v>
      </c>
      <c r="I249">
        <v>7</v>
      </c>
      <c r="J249">
        <v>360</v>
      </c>
      <c r="K249">
        <v>250</v>
      </c>
      <c r="L249">
        <v>0.15</v>
      </c>
      <c r="M249" s="1" t="s">
        <v>23</v>
      </c>
      <c r="N249" s="1" t="s">
        <v>36</v>
      </c>
      <c r="O249">
        <v>250</v>
      </c>
      <c r="P249">
        <v>2142</v>
      </c>
      <c r="Q249">
        <v>1750</v>
      </c>
      <c r="R249">
        <v>392</v>
      </c>
      <c r="S249">
        <v>0.18300653594771199</v>
      </c>
    </row>
    <row r="250" spans="1:19" x14ac:dyDescent="0.3">
      <c r="A250" s="1" t="s">
        <v>584</v>
      </c>
      <c r="B250" s="7">
        <f>MONTH(Clean_Sales[[#This Row],[Order_Date]])</f>
        <v>4</v>
      </c>
      <c r="C250" s="6">
        <v>46126</v>
      </c>
      <c r="D250" s="1" t="s">
        <v>356</v>
      </c>
      <c r="E250" s="1" t="s">
        <v>124</v>
      </c>
      <c r="F250" s="1" t="s">
        <v>51</v>
      </c>
      <c r="G250" s="1" t="s">
        <v>52</v>
      </c>
      <c r="H250" s="1" t="s">
        <v>42</v>
      </c>
      <c r="I250">
        <v>2</v>
      </c>
      <c r="J250">
        <v>310</v>
      </c>
      <c r="K250">
        <v>220</v>
      </c>
      <c r="L250">
        <v>0.05</v>
      </c>
      <c r="M250" s="1" t="s">
        <v>23</v>
      </c>
      <c r="N250" s="1" t="s">
        <v>36</v>
      </c>
      <c r="O250">
        <v>220</v>
      </c>
      <c r="P250">
        <v>589</v>
      </c>
      <c r="Q250">
        <v>440</v>
      </c>
      <c r="R250">
        <v>149</v>
      </c>
      <c r="S250">
        <v>0.25297113752122202</v>
      </c>
    </row>
    <row r="251" spans="1:19" x14ac:dyDescent="0.3">
      <c r="A251" s="1" t="s">
        <v>585</v>
      </c>
      <c r="B251" s="7">
        <f>MONTH(Clean_Sales[[#This Row],[Order_Date]])</f>
        <v>2</v>
      </c>
      <c r="C251" s="6">
        <v>46060</v>
      </c>
      <c r="D251" s="1" t="s">
        <v>333</v>
      </c>
      <c r="E251" s="1" t="s">
        <v>28</v>
      </c>
      <c r="F251" s="1" t="s">
        <v>106</v>
      </c>
      <c r="G251" s="1" t="s">
        <v>107</v>
      </c>
      <c r="H251" s="1" t="s">
        <v>31</v>
      </c>
      <c r="I251">
        <v>2</v>
      </c>
      <c r="J251">
        <v>190</v>
      </c>
      <c r="K251">
        <v>115</v>
      </c>
      <c r="L251">
        <v>0.05</v>
      </c>
      <c r="M251" s="1" t="s">
        <v>23</v>
      </c>
      <c r="N251" s="1" t="s">
        <v>36</v>
      </c>
      <c r="O251">
        <v>115</v>
      </c>
      <c r="P251">
        <v>361</v>
      </c>
      <c r="Q251">
        <v>230</v>
      </c>
      <c r="R251">
        <v>131</v>
      </c>
      <c r="S251">
        <v>0.362880886426593</v>
      </c>
    </row>
    <row r="252" spans="1:19" x14ac:dyDescent="0.3">
      <c r="A252" s="1" t="s">
        <v>587</v>
      </c>
      <c r="B252" s="7">
        <f>MONTH(Clean_Sales[[#This Row],[Order_Date]])</f>
        <v>2</v>
      </c>
      <c r="C252" s="6">
        <v>46066</v>
      </c>
      <c r="D252" s="1" t="s">
        <v>254</v>
      </c>
      <c r="E252" s="1" t="s">
        <v>28</v>
      </c>
      <c r="F252" s="1" t="s">
        <v>89</v>
      </c>
      <c r="G252" s="1" t="s">
        <v>90</v>
      </c>
      <c r="H252" s="1" t="s">
        <v>74</v>
      </c>
      <c r="I252">
        <v>1</v>
      </c>
      <c r="J252">
        <v>85</v>
      </c>
      <c r="K252">
        <v>48</v>
      </c>
      <c r="L252">
        <v>0.1</v>
      </c>
      <c r="M252" s="1" t="s">
        <v>23</v>
      </c>
      <c r="N252" s="1" t="s">
        <v>36</v>
      </c>
      <c r="O252">
        <v>48</v>
      </c>
      <c r="P252">
        <v>76.5</v>
      </c>
      <c r="Q252">
        <v>48</v>
      </c>
      <c r="R252">
        <v>28.5</v>
      </c>
      <c r="S252">
        <v>0.37254901960784298</v>
      </c>
    </row>
    <row r="253" spans="1:19" x14ac:dyDescent="0.3">
      <c r="A253" s="1" t="s">
        <v>588</v>
      </c>
      <c r="B253" s="7">
        <f>MONTH(Clean_Sales[[#This Row],[Order_Date]])</f>
        <v>6</v>
      </c>
      <c r="C253" s="6">
        <v>46189</v>
      </c>
      <c r="D253" s="1" t="s">
        <v>260</v>
      </c>
      <c r="E253" s="1" t="s">
        <v>59</v>
      </c>
      <c r="F253" s="1" t="s">
        <v>51</v>
      </c>
      <c r="G253" s="1" t="s">
        <v>52</v>
      </c>
      <c r="H253" s="1" t="s">
        <v>42</v>
      </c>
      <c r="I253">
        <v>1</v>
      </c>
      <c r="J253">
        <v>310</v>
      </c>
      <c r="K253">
        <v>220</v>
      </c>
      <c r="L253">
        <v>0.15</v>
      </c>
      <c r="M253" s="1" t="s">
        <v>23</v>
      </c>
      <c r="N253" s="1" t="s">
        <v>36</v>
      </c>
      <c r="O253">
        <v>220</v>
      </c>
      <c r="P253">
        <v>263.5</v>
      </c>
      <c r="Q253">
        <v>220</v>
      </c>
      <c r="R253">
        <v>43.5</v>
      </c>
      <c r="S253">
        <v>0.165085388994307</v>
      </c>
    </row>
    <row r="254" spans="1:19" x14ac:dyDescent="0.3">
      <c r="A254" s="1" t="s">
        <v>590</v>
      </c>
      <c r="B254" s="7">
        <f>MONTH(Clean_Sales[[#This Row],[Order_Date]])</f>
        <v>5</v>
      </c>
      <c r="C254" s="6">
        <v>46167</v>
      </c>
      <c r="D254" s="1" t="s">
        <v>102</v>
      </c>
      <c r="E254" s="1" t="s">
        <v>124</v>
      </c>
      <c r="F254" s="1" t="s">
        <v>106</v>
      </c>
      <c r="G254" s="1" t="s">
        <v>107</v>
      </c>
      <c r="H254" s="1" t="s">
        <v>31</v>
      </c>
      <c r="I254">
        <v>6</v>
      </c>
      <c r="J254">
        <v>190</v>
      </c>
      <c r="K254">
        <v>115</v>
      </c>
      <c r="L254">
        <v>0.15</v>
      </c>
      <c r="M254" s="1" t="s">
        <v>23</v>
      </c>
      <c r="N254" s="1" t="s">
        <v>36</v>
      </c>
      <c r="O254">
        <v>115</v>
      </c>
      <c r="P254">
        <v>969</v>
      </c>
      <c r="Q254">
        <v>690</v>
      </c>
      <c r="R254">
        <v>279</v>
      </c>
      <c r="S254">
        <v>0.28792569659442702</v>
      </c>
    </row>
    <row r="255" spans="1:19" x14ac:dyDescent="0.3">
      <c r="A255" s="1" t="s">
        <v>592</v>
      </c>
      <c r="B255" s="7">
        <f>MONTH(Clean_Sales[[#This Row],[Order_Date]])</f>
        <v>6</v>
      </c>
      <c r="C255" s="6">
        <v>46202</v>
      </c>
      <c r="D255" s="1" t="s">
        <v>63</v>
      </c>
      <c r="E255" s="1" t="s">
        <v>124</v>
      </c>
      <c r="F255" s="1" t="s">
        <v>106</v>
      </c>
      <c r="G255" s="1" t="s">
        <v>107</v>
      </c>
      <c r="H255" s="1" t="s">
        <v>31</v>
      </c>
      <c r="I255">
        <v>8</v>
      </c>
      <c r="J255">
        <v>190</v>
      </c>
      <c r="L255">
        <v>0.1</v>
      </c>
      <c r="M255" s="1" t="s">
        <v>23</v>
      </c>
      <c r="N255" s="1" t="s">
        <v>36</v>
      </c>
      <c r="O255">
        <v>115</v>
      </c>
      <c r="P255">
        <v>1368</v>
      </c>
      <c r="Q255">
        <v>920</v>
      </c>
      <c r="R255">
        <v>448</v>
      </c>
      <c r="S255">
        <v>0.32748538011695899</v>
      </c>
    </row>
    <row r="256" spans="1:19" x14ac:dyDescent="0.3">
      <c r="A256" s="1" t="s">
        <v>593</v>
      </c>
      <c r="B256" s="7">
        <f>MONTH(Clean_Sales[[#This Row],[Order_Date]])</f>
        <v>4</v>
      </c>
      <c r="C256" s="6">
        <v>46120</v>
      </c>
      <c r="D256" s="1" t="s">
        <v>159</v>
      </c>
      <c r="E256" s="1" t="s">
        <v>59</v>
      </c>
      <c r="F256" s="1" t="s">
        <v>40</v>
      </c>
      <c r="G256" s="1" t="s">
        <v>41</v>
      </c>
      <c r="H256" s="1" t="s">
        <v>42</v>
      </c>
      <c r="I256">
        <v>8</v>
      </c>
      <c r="J256">
        <v>1250</v>
      </c>
      <c r="K256">
        <v>940</v>
      </c>
      <c r="L256">
        <v>0.15</v>
      </c>
      <c r="M256" s="1" t="s">
        <v>46</v>
      </c>
      <c r="N256" s="1" t="s">
        <v>36</v>
      </c>
      <c r="O256">
        <v>940</v>
      </c>
      <c r="P256">
        <v>8500</v>
      </c>
      <c r="Q256">
        <v>7520</v>
      </c>
      <c r="R256">
        <v>980</v>
      </c>
      <c r="S256">
        <v>0.11529411764705901</v>
      </c>
    </row>
    <row r="257" spans="1:19" x14ac:dyDescent="0.3">
      <c r="A257" s="1" t="s">
        <v>594</v>
      </c>
      <c r="B257" s="7">
        <f>MONTH(Clean_Sales[[#This Row],[Order_Date]])</f>
        <v>5</v>
      </c>
      <c r="C257" s="6">
        <v>46167</v>
      </c>
      <c r="D257" s="1" t="s">
        <v>102</v>
      </c>
      <c r="E257" s="1" t="s">
        <v>28</v>
      </c>
      <c r="F257" s="1" t="s">
        <v>17</v>
      </c>
      <c r="G257" s="1" t="s">
        <v>18</v>
      </c>
      <c r="H257" s="1" t="s">
        <v>74</v>
      </c>
      <c r="I257">
        <v>8</v>
      </c>
      <c r="J257">
        <v>25</v>
      </c>
      <c r="K257">
        <v>12</v>
      </c>
      <c r="L257">
        <v>0.05</v>
      </c>
      <c r="M257" s="1" t="s">
        <v>46</v>
      </c>
      <c r="N257" s="1" t="s">
        <v>36</v>
      </c>
      <c r="O257">
        <v>12</v>
      </c>
      <c r="P257">
        <v>190</v>
      </c>
      <c r="Q257">
        <v>96</v>
      </c>
      <c r="R257">
        <v>94</v>
      </c>
      <c r="S257">
        <v>0.49473684210526298</v>
      </c>
    </row>
    <row r="258" spans="1:19" x14ac:dyDescent="0.3">
      <c r="A258" s="1" t="s">
        <v>595</v>
      </c>
      <c r="B258" s="7">
        <f>MONTH(Clean_Sales[[#This Row],[Order_Date]])</f>
        <v>6</v>
      </c>
      <c r="C258" s="6">
        <v>46192</v>
      </c>
      <c r="D258" s="1" t="s">
        <v>327</v>
      </c>
      <c r="E258" s="1" t="s">
        <v>124</v>
      </c>
      <c r="F258" s="1" t="s">
        <v>29</v>
      </c>
      <c r="G258" s="1" t="s">
        <v>30</v>
      </c>
      <c r="H258" s="1" t="s">
        <v>31</v>
      </c>
      <c r="I258">
        <v>7</v>
      </c>
      <c r="J258">
        <v>280</v>
      </c>
      <c r="K258">
        <v>190</v>
      </c>
      <c r="L258">
        <v>0.15</v>
      </c>
      <c r="M258" s="1" t="s">
        <v>23</v>
      </c>
      <c r="N258" s="1" t="s">
        <v>36</v>
      </c>
      <c r="O258">
        <v>190</v>
      </c>
      <c r="P258">
        <v>1666</v>
      </c>
      <c r="Q258">
        <v>1330</v>
      </c>
      <c r="R258">
        <v>336</v>
      </c>
      <c r="S258">
        <v>0.20168067226890801</v>
      </c>
    </row>
    <row r="259" spans="1:19" x14ac:dyDescent="0.3">
      <c r="A259" s="1" t="s">
        <v>596</v>
      </c>
      <c r="B259" s="7">
        <f>MONTH(Clean_Sales[[#This Row],[Order_Date]])</f>
        <v>3</v>
      </c>
      <c r="C259" s="6">
        <v>46105</v>
      </c>
      <c r="D259" s="1" t="s">
        <v>356</v>
      </c>
      <c r="E259" s="1" t="s">
        <v>124</v>
      </c>
      <c r="F259" s="1" t="s">
        <v>106</v>
      </c>
      <c r="G259" s="1" t="s">
        <v>107</v>
      </c>
      <c r="H259" s="1" t="s">
        <v>31</v>
      </c>
      <c r="I259">
        <v>3</v>
      </c>
      <c r="J259">
        <v>190</v>
      </c>
      <c r="K259">
        <v>115</v>
      </c>
      <c r="L259">
        <v>0.15</v>
      </c>
      <c r="M259" s="1" t="s">
        <v>23</v>
      </c>
      <c r="N259" s="1" t="s">
        <v>36</v>
      </c>
      <c r="O259">
        <v>115</v>
      </c>
      <c r="P259">
        <v>484.5</v>
      </c>
      <c r="Q259">
        <v>345</v>
      </c>
      <c r="R259">
        <v>139.5</v>
      </c>
      <c r="S259">
        <v>0.28792569659442702</v>
      </c>
    </row>
    <row r="260" spans="1:19" x14ac:dyDescent="0.3">
      <c r="A260" s="1" t="s">
        <v>597</v>
      </c>
      <c r="B260" s="7">
        <f>MONTH(Clean_Sales[[#This Row],[Order_Date]])</f>
        <v>5</v>
      </c>
      <c r="C260" s="6">
        <v>46160</v>
      </c>
      <c r="D260" s="1" t="s">
        <v>140</v>
      </c>
      <c r="E260" s="1" t="s">
        <v>50</v>
      </c>
      <c r="F260" s="1" t="s">
        <v>17</v>
      </c>
      <c r="G260" s="1" t="s">
        <v>18</v>
      </c>
      <c r="H260" s="1" t="s">
        <v>74</v>
      </c>
      <c r="I260">
        <v>2</v>
      </c>
      <c r="J260">
        <v>25</v>
      </c>
      <c r="K260">
        <v>12</v>
      </c>
      <c r="L260">
        <v>0.05</v>
      </c>
      <c r="M260" s="1" t="s">
        <v>46</v>
      </c>
      <c r="N260" s="1" t="s">
        <v>36</v>
      </c>
      <c r="O260">
        <v>12</v>
      </c>
      <c r="P260">
        <v>47.5</v>
      </c>
      <c r="Q260">
        <v>24</v>
      </c>
      <c r="R260">
        <v>23.5</v>
      </c>
      <c r="S260">
        <v>0.49473684210526298</v>
      </c>
    </row>
    <row r="261" spans="1:19" x14ac:dyDescent="0.3">
      <c r="A261" s="1" t="s">
        <v>599</v>
      </c>
      <c r="B261" s="7">
        <f>MONTH(Clean_Sales[[#This Row],[Order_Date]])</f>
        <v>6</v>
      </c>
      <c r="C261" s="6">
        <v>46180</v>
      </c>
      <c r="D261" s="1" t="s">
        <v>102</v>
      </c>
      <c r="E261" s="1" t="s">
        <v>59</v>
      </c>
      <c r="F261" s="1" t="s">
        <v>106</v>
      </c>
      <c r="G261" s="1" t="s">
        <v>107</v>
      </c>
      <c r="H261" s="1" t="s">
        <v>31</v>
      </c>
      <c r="I261">
        <v>6</v>
      </c>
      <c r="J261">
        <v>190</v>
      </c>
      <c r="K261">
        <v>115</v>
      </c>
      <c r="L261">
        <v>0.1</v>
      </c>
      <c r="M261" s="1" t="s">
        <v>46</v>
      </c>
      <c r="N261" s="1" t="s">
        <v>36</v>
      </c>
      <c r="O261">
        <v>115</v>
      </c>
      <c r="P261">
        <v>1026</v>
      </c>
      <c r="Q261">
        <v>690</v>
      </c>
      <c r="R261">
        <v>336</v>
      </c>
      <c r="S261">
        <v>0.32748538011695899</v>
      </c>
    </row>
    <row r="262" spans="1:19" x14ac:dyDescent="0.3">
      <c r="A262" s="1" t="s">
        <v>600</v>
      </c>
      <c r="B262" s="7">
        <f>MONTH(Clean_Sales[[#This Row],[Order_Date]])</f>
        <v>1</v>
      </c>
      <c r="C262" s="6">
        <v>46039</v>
      </c>
      <c r="D262" s="1" t="s">
        <v>308</v>
      </c>
      <c r="E262" s="1" t="s">
        <v>50</v>
      </c>
      <c r="F262" s="1" t="s">
        <v>40</v>
      </c>
      <c r="G262" s="1" t="s">
        <v>41</v>
      </c>
      <c r="H262" s="1" t="s">
        <v>42</v>
      </c>
      <c r="I262">
        <v>6</v>
      </c>
      <c r="J262">
        <v>1250</v>
      </c>
      <c r="K262">
        <v>940</v>
      </c>
      <c r="L262">
        <v>0.15</v>
      </c>
      <c r="M262" s="1" t="s">
        <v>46</v>
      </c>
      <c r="N262" s="1" t="s">
        <v>36</v>
      </c>
      <c r="O262">
        <v>940</v>
      </c>
      <c r="P262">
        <v>6375</v>
      </c>
      <c r="Q262">
        <v>5640</v>
      </c>
      <c r="R262">
        <v>735</v>
      </c>
      <c r="S262">
        <v>0.11529411764705901</v>
      </c>
    </row>
    <row r="263" spans="1:19" x14ac:dyDescent="0.3">
      <c r="A263" s="1" t="s">
        <v>602</v>
      </c>
      <c r="B263" s="7">
        <f>MONTH(Clean_Sales[[#This Row],[Order_Date]])</f>
        <v>5</v>
      </c>
      <c r="C263" s="6">
        <v>46171</v>
      </c>
      <c r="D263" s="1" t="s">
        <v>159</v>
      </c>
      <c r="E263" s="1" t="s">
        <v>28</v>
      </c>
      <c r="F263" s="1" t="s">
        <v>64</v>
      </c>
      <c r="G263" s="1" t="s">
        <v>65</v>
      </c>
      <c r="H263" s="1" t="s">
        <v>42</v>
      </c>
      <c r="I263">
        <v>4</v>
      </c>
      <c r="J263">
        <v>360</v>
      </c>
      <c r="K263">
        <v>250</v>
      </c>
      <c r="L263">
        <v>0.1</v>
      </c>
      <c r="M263" s="1" t="s">
        <v>23</v>
      </c>
      <c r="N263" s="1" t="s">
        <v>36</v>
      </c>
      <c r="O263">
        <v>250</v>
      </c>
      <c r="P263">
        <v>1296</v>
      </c>
      <c r="Q263">
        <v>1000</v>
      </c>
      <c r="R263">
        <v>296</v>
      </c>
      <c r="S263">
        <v>0.22839506172839499</v>
      </c>
    </row>
    <row r="264" spans="1:19" x14ac:dyDescent="0.3">
      <c r="A264" s="1" t="s">
        <v>604</v>
      </c>
      <c r="B264" s="7">
        <f>MONTH(Clean_Sales[[#This Row],[Order_Date]])</f>
        <v>6</v>
      </c>
      <c r="C264" s="6">
        <v>46203</v>
      </c>
      <c r="D264" s="1" t="s">
        <v>579</v>
      </c>
      <c r="E264" s="1" t="s">
        <v>50</v>
      </c>
      <c r="F264" s="1" t="s">
        <v>72</v>
      </c>
      <c r="G264" s="1" t="s">
        <v>73</v>
      </c>
      <c r="H264" s="1" t="s">
        <v>74</v>
      </c>
      <c r="I264">
        <v>7</v>
      </c>
      <c r="J264">
        <v>65</v>
      </c>
      <c r="K264">
        <v>35</v>
      </c>
      <c r="L264">
        <v>0.15</v>
      </c>
      <c r="M264" s="1" t="s">
        <v>46</v>
      </c>
      <c r="N264" s="1" t="s">
        <v>36</v>
      </c>
      <c r="O264">
        <v>35</v>
      </c>
      <c r="P264">
        <v>386.75</v>
      </c>
      <c r="Q264">
        <v>245</v>
      </c>
      <c r="R264">
        <v>141.75</v>
      </c>
      <c r="S264">
        <v>0.36651583710407198</v>
      </c>
    </row>
    <row r="265" spans="1:19" x14ac:dyDescent="0.3">
      <c r="A265" s="1" t="s">
        <v>605</v>
      </c>
      <c r="B265" s="7">
        <f>MONTH(Clean_Sales[[#This Row],[Order_Date]])</f>
        <v>4</v>
      </c>
      <c r="C265" s="6">
        <v>46133</v>
      </c>
      <c r="D265" s="1" t="s">
        <v>99</v>
      </c>
      <c r="E265" s="1" t="s">
        <v>124</v>
      </c>
      <c r="F265" s="1" t="s">
        <v>51</v>
      </c>
      <c r="G265" s="1" t="s">
        <v>52</v>
      </c>
      <c r="H265" s="1" t="s">
        <v>42</v>
      </c>
      <c r="I265">
        <v>5</v>
      </c>
      <c r="J265">
        <v>310</v>
      </c>
      <c r="K265">
        <v>220</v>
      </c>
      <c r="L265">
        <v>0.05</v>
      </c>
      <c r="M265" s="1" t="s">
        <v>46</v>
      </c>
      <c r="N265" s="1" t="s">
        <v>36</v>
      </c>
      <c r="O265">
        <v>220</v>
      </c>
      <c r="P265">
        <v>1472.5</v>
      </c>
      <c r="Q265">
        <v>1100</v>
      </c>
      <c r="R265">
        <v>372.5</v>
      </c>
      <c r="S265">
        <v>0.25297113752122202</v>
      </c>
    </row>
    <row r="266" spans="1:19" x14ac:dyDescent="0.3">
      <c r="A266" s="1" t="s">
        <v>606</v>
      </c>
      <c r="B266" s="7">
        <f>MONTH(Clean_Sales[[#This Row],[Order_Date]])</f>
        <v>1</v>
      </c>
      <c r="C266" s="6">
        <v>46037</v>
      </c>
      <c r="D266" s="1" t="s">
        <v>58</v>
      </c>
      <c r="E266" s="1" t="s">
        <v>28</v>
      </c>
      <c r="F266" s="1" t="s">
        <v>106</v>
      </c>
      <c r="G266" s="1" t="s">
        <v>107</v>
      </c>
      <c r="H266" s="1" t="s">
        <v>31</v>
      </c>
      <c r="I266">
        <v>3</v>
      </c>
      <c r="J266">
        <v>190</v>
      </c>
      <c r="K266">
        <v>115</v>
      </c>
      <c r="L266">
        <v>0.15</v>
      </c>
      <c r="M266" s="1" t="s">
        <v>23</v>
      </c>
      <c r="N266" s="1" t="s">
        <v>36</v>
      </c>
      <c r="O266">
        <v>115</v>
      </c>
      <c r="P266">
        <v>484.5</v>
      </c>
      <c r="Q266">
        <v>345</v>
      </c>
      <c r="R266">
        <v>139.5</v>
      </c>
      <c r="S266">
        <v>0.28792569659442702</v>
      </c>
    </row>
    <row r="267" spans="1:19" x14ac:dyDescent="0.3">
      <c r="A267" s="1" t="s">
        <v>608</v>
      </c>
      <c r="B267" s="7">
        <f>MONTH(Clean_Sales[[#This Row],[Order_Date]])</f>
        <v>2</v>
      </c>
      <c r="C267" s="6">
        <v>46056</v>
      </c>
      <c r="D267" s="1" t="s">
        <v>71</v>
      </c>
      <c r="E267" s="1" t="s">
        <v>50</v>
      </c>
      <c r="F267" s="1" t="s">
        <v>72</v>
      </c>
      <c r="G267" s="1" t="s">
        <v>73</v>
      </c>
      <c r="H267" s="1" t="s">
        <v>74</v>
      </c>
      <c r="I267">
        <v>5</v>
      </c>
      <c r="J267">
        <v>65</v>
      </c>
      <c r="K267">
        <v>35</v>
      </c>
      <c r="L267">
        <v>0.1</v>
      </c>
      <c r="M267" s="1" t="s">
        <v>46</v>
      </c>
      <c r="N267" s="1" t="s">
        <v>36</v>
      </c>
      <c r="O267">
        <v>35</v>
      </c>
      <c r="P267">
        <v>292.5</v>
      </c>
      <c r="Q267">
        <v>175</v>
      </c>
      <c r="R267">
        <v>117.5</v>
      </c>
      <c r="S267">
        <v>0.401709401709402</v>
      </c>
    </row>
    <row r="268" spans="1:19" x14ac:dyDescent="0.3">
      <c r="A268" s="1" t="s">
        <v>609</v>
      </c>
      <c r="B268" s="7">
        <f>MONTH(Clean_Sales[[#This Row],[Order_Date]])</f>
        <v>5</v>
      </c>
      <c r="C268" s="6">
        <v>46168</v>
      </c>
      <c r="D268" s="1" t="s">
        <v>610</v>
      </c>
      <c r="E268" s="1" t="s">
        <v>124</v>
      </c>
      <c r="F268" s="1" t="s">
        <v>72</v>
      </c>
      <c r="G268" s="1" t="s">
        <v>73</v>
      </c>
      <c r="H268" s="1" t="s">
        <v>74</v>
      </c>
      <c r="I268">
        <v>4</v>
      </c>
      <c r="J268">
        <v>65</v>
      </c>
      <c r="K268">
        <v>35</v>
      </c>
      <c r="L268">
        <v>0.05</v>
      </c>
      <c r="M268" s="1" t="s">
        <v>23</v>
      </c>
      <c r="N268" s="1" t="s">
        <v>36</v>
      </c>
      <c r="O268">
        <v>35</v>
      </c>
      <c r="P268">
        <v>247</v>
      </c>
      <c r="Q268">
        <v>140</v>
      </c>
      <c r="R268">
        <v>107</v>
      </c>
      <c r="S268">
        <v>0.43319838056680199</v>
      </c>
    </row>
    <row r="269" spans="1:19" x14ac:dyDescent="0.3">
      <c r="A269" s="1" t="s">
        <v>611</v>
      </c>
      <c r="B269" s="7">
        <f>MONTH(Clean_Sales[[#This Row],[Order_Date]])</f>
        <v>1</v>
      </c>
      <c r="C269" s="6">
        <v>46048</v>
      </c>
      <c r="D269" s="1" t="s">
        <v>216</v>
      </c>
      <c r="E269" s="1" t="s">
        <v>59</v>
      </c>
      <c r="F269" s="1" t="s">
        <v>64</v>
      </c>
      <c r="G269" s="1" t="s">
        <v>65</v>
      </c>
      <c r="H269" s="1" t="s">
        <v>42</v>
      </c>
      <c r="I269">
        <v>5</v>
      </c>
      <c r="J269">
        <v>360</v>
      </c>
      <c r="K269">
        <v>250</v>
      </c>
      <c r="L269">
        <v>0</v>
      </c>
      <c r="M269" s="1" t="s">
        <v>23</v>
      </c>
      <c r="N269" s="1" t="s">
        <v>36</v>
      </c>
      <c r="O269">
        <v>250</v>
      </c>
      <c r="P269">
        <v>1800</v>
      </c>
      <c r="Q269">
        <v>1250</v>
      </c>
      <c r="R269">
        <v>550</v>
      </c>
      <c r="S269">
        <v>0.30555555555555602</v>
      </c>
    </row>
    <row r="270" spans="1:19" x14ac:dyDescent="0.3">
      <c r="A270" s="1" t="s">
        <v>612</v>
      </c>
      <c r="B270" s="7">
        <f>MONTH(Clean_Sales[[#This Row],[Order_Date]])</f>
        <v>6</v>
      </c>
      <c r="C270" s="6">
        <v>46203</v>
      </c>
      <c r="D270" s="1" t="s">
        <v>293</v>
      </c>
      <c r="E270" s="1" t="s">
        <v>50</v>
      </c>
      <c r="F270" s="1" t="s">
        <v>40</v>
      </c>
      <c r="G270" s="1" t="s">
        <v>41</v>
      </c>
      <c r="H270" s="1" t="s">
        <v>42</v>
      </c>
      <c r="I270">
        <v>3</v>
      </c>
      <c r="J270">
        <v>1250</v>
      </c>
      <c r="K270">
        <v>940</v>
      </c>
      <c r="L270">
        <v>0.1</v>
      </c>
      <c r="M270" s="1" t="s">
        <v>23</v>
      </c>
      <c r="N270" s="1" t="s">
        <v>36</v>
      </c>
      <c r="O270">
        <v>940</v>
      </c>
      <c r="P270">
        <v>3375</v>
      </c>
      <c r="Q270">
        <v>2820</v>
      </c>
      <c r="R270">
        <v>555</v>
      </c>
      <c r="S270">
        <v>0.164444444444444</v>
      </c>
    </row>
    <row r="271" spans="1:19" x14ac:dyDescent="0.3">
      <c r="A271" s="1" t="s">
        <v>613</v>
      </c>
      <c r="B271" s="7">
        <f>MONTH(Clean_Sales[[#This Row],[Order_Date]])</f>
        <v>1</v>
      </c>
      <c r="C271" s="6">
        <v>46048</v>
      </c>
      <c r="D271" s="1" t="s">
        <v>390</v>
      </c>
      <c r="E271" s="1" t="s">
        <v>982</v>
      </c>
      <c r="F271" s="1" t="s">
        <v>17</v>
      </c>
      <c r="G271" s="1" t="s">
        <v>18</v>
      </c>
      <c r="H271" s="1" t="s">
        <v>74</v>
      </c>
      <c r="I271">
        <v>3</v>
      </c>
      <c r="J271">
        <v>25</v>
      </c>
      <c r="K271">
        <v>12</v>
      </c>
      <c r="L271">
        <v>0.1</v>
      </c>
      <c r="M271" s="1" t="s">
        <v>46</v>
      </c>
      <c r="N271" s="1" t="s">
        <v>36</v>
      </c>
      <c r="O271">
        <v>12</v>
      </c>
      <c r="P271">
        <v>67.5</v>
      </c>
      <c r="Q271">
        <v>36</v>
      </c>
      <c r="R271">
        <v>31.5</v>
      </c>
      <c r="S271">
        <v>0.46666666666666701</v>
      </c>
    </row>
    <row r="272" spans="1:19" x14ac:dyDescent="0.3">
      <c r="A272" s="1" t="s">
        <v>614</v>
      </c>
      <c r="B272" s="7">
        <f>MONTH(Clean_Sales[[#This Row],[Order_Date]])</f>
        <v>5</v>
      </c>
      <c r="C272" s="6">
        <v>46146</v>
      </c>
      <c r="D272" s="1" t="s">
        <v>495</v>
      </c>
      <c r="E272" s="1" t="s">
        <v>28</v>
      </c>
      <c r="F272" s="1" t="s">
        <v>51</v>
      </c>
      <c r="G272" s="1" t="s">
        <v>52</v>
      </c>
      <c r="H272" s="1" t="s">
        <v>42</v>
      </c>
      <c r="I272">
        <v>4</v>
      </c>
      <c r="J272">
        <v>310</v>
      </c>
      <c r="K272">
        <v>220</v>
      </c>
      <c r="L272">
        <v>0</v>
      </c>
      <c r="M272" s="1" t="s">
        <v>23</v>
      </c>
      <c r="N272" s="1" t="s">
        <v>36</v>
      </c>
      <c r="O272">
        <v>220</v>
      </c>
      <c r="P272">
        <v>1240</v>
      </c>
      <c r="Q272">
        <v>880</v>
      </c>
      <c r="R272">
        <v>360</v>
      </c>
      <c r="S272">
        <v>0.29032258064516098</v>
      </c>
    </row>
    <row r="273" spans="1:19" x14ac:dyDescent="0.3">
      <c r="A273" s="1" t="s">
        <v>616</v>
      </c>
      <c r="B273" s="7">
        <f>MONTH(Clean_Sales[[#This Row],[Order_Date]])</f>
        <v>4</v>
      </c>
      <c r="C273" s="6">
        <v>46125</v>
      </c>
      <c r="D273" s="1" t="s">
        <v>49</v>
      </c>
      <c r="E273" s="1" t="s">
        <v>124</v>
      </c>
      <c r="F273" s="1" t="s">
        <v>40</v>
      </c>
      <c r="G273" s="1" t="s">
        <v>41</v>
      </c>
      <c r="H273" s="1" t="s">
        <v>42</v>
      </c>
      <c r="I273">
        <v>3</v>
      </c>
      <c r="J273">
        <v>1250</v>
      </c>
      <c r="K273">
        <v>940</v>
      </c>
      <c r="L273">
        <v>0.15</v>
      </c>
      <c r="M273" s="1" t="s">
        <v>23</v>
      </c>
      <c r="N273" s="1" t="s">
        <v>36</v>
      </c>
      <c r="O273">
        <v>940</v>
      </c>
      <c r="P273">
        <v>3187.5</v>
      </c>
      <c r="Q273">
        <v>2820</v>
      </c>
      <c r="R273">
        <v>367.5</v>
      </c>
      <c r="S273">
        <v>0.11529411764705901</v>
      </c>
    </row>
    <row r="274" spans="1:19" x14ac:dyDescent="0.3">
      <c r="A274" s="1" t="s">
        <v>617</v>
      </c>
      <c r="B274" s="7">
        <f>MONTH(Clean_Sales[[#This Row],[Order_Date]])</f>
        <v>1</v>
      </c>
      <c r="C274" s="6">
        <v>46040</v>
      </c>
      <c r="D274" s="1" t="s">
        <v>197</v>
      </c>
      <c r="E274" s="1" t="s">
        <v>59</v>
      </c>
      <c r="F274" s="1" t="s">
        <v>89</v>
      </c>
      <c r="G274" s="1" t="s">
        <v>90</v>
      </c>
      <c r="H274" s="1" t="s">
        <v>74</v>
      </c>
      <c r="I274">
        <v>6</v>
      </c>
      <c r="J274">
        <v>85</v>
      </c>
      <c r="K274">
        <v>48</v>
      </c>
      <c r="L274">
        <v>0</v>
      </c>
      <c r="M274" s="1" t="s">
        <v>23</v>
      </c>
      <c r="N274" s="1" t="s">
        <v>36</v>
      </c>
      <c r="O274">
        <v>48</v>
      </c>
      <c r="P274">
        <v>510</v>
      </c>
      <c r="Q274">
        <v>288</v>
      </c>
      <c r="R274">
        <v>222</v>
      </c>
      <c r="S274">
        <v>0.435294117647059</v>
      </c>
    </row>
    <row r="275" spans="1:19" x14ac:dyDescent="0.3">
      <c r="A275" s="1" t="s">
        <v>618</v>
      </c>
      <c r="B275" s="7">
        <f>MONTH(Clean_Sales[[#This Row],[Order_Date]])</f>
        <v>4</v>
      </c>
      <c r="C275" s="6">
        <v>46121</v>
      </c>
      <c r="D275" s="1" t="s">
        <v>322</v>
      </c>
      <c r="E275" s="1" t="s">
        <v>59</v>
      </c>
      <c r="F275" s="1" t="s">
        <v>106</v>
      </c>
      <c r="G275" s="1" t="s">
        <v>107</v>
      </c>
      <c r="H275" s="1" t="s">
        <v>31</v>
      </c>
      <c r="I275">
        <v>5</v>
      </c>
      <c r="J275">
        <v>190</v>
      </c>
      <c r="K275">
        <v>115</v>
      </c>
      <c r="L275">
        <v>0.1</v>
      </c>
      <c r="M275" s="1" t="s">
        <v>46</v>
      </c>
      <c r="N275" s="1" t="s">
        <v>36</v>
      </c>
      <c r="O275">
        <v>115</v>
      </c>
      <c r="P275">
        <v>855</v>
      </c>
      <c r="Q275">
        <v>575</v>
      </c>
      <c r="R275">
        <v>280</v>
      </c>
      <c r="S275">
        <v>0.32748538011695899</v>
      </c>
    </row>
    <row r="276" spans="1:19" x14ac:dyDescent="0.3">
      <c r="A276" s="1" t="s">
        <v>620</v>
      </c>
      <c r="B276" s="7">
        <f>MONTH(Clean_Sales[[#This Row],[Order_Date]])</f>
        <v>5</v>
      </c>
      <c r="C276" s="6">
        <v>46165</v>
      </c>
      <c r="D276" s="1" t="s">
        <v>148</v>
      </c>
      <c r="E276" s="1" t="s">
        <v>50</v>
      </c>
      <c r="F276" s="1" t="s">
        <v>29</v>
      </c>
      <c r="G276" s="1" t="s">
        <v>30</v>
      </c>
      <c r="H276" s="1" t="s">
        <v>31</v>
      </c>
      <c r="I276">
        <v>2</v>
      </c>
      <c r="J276">
        <v>280</v>
      </c>
      <c r="K276">
        <v>190</v>
      </c>
      <c r="L276">
        <v>0.1</v>
      </c>
      <c r="M276" s="1" t="s">
        <v>46</v>
      </c>
      <c r="N276" s="1" t="s">
        <v>36</v>
      </c>
      <c r="O276">
        <v>190</v>
      </c>
      <c r="P276">
        <v>504</v>
      </c>
      <c r="Q276">
        <v>380</v>
      </c>
      <c r="R276">
        <v>124</v>
      </c>
      <c r="S276">
        <v>0.24603174603174599</v>
      </c>
    </row>
    <row r="277" spans="1:19" x14ac:dyDescent="0.3">
      <c r="A277" s="1" t="s">
        <v>621</v>
      </c>
      <c r="B277" s="7">
        <f>MONTH(Clean_Sales[[#This Row],[Order_Date]])</f>
        <v>1</v>
      </c>
      <c r="C277" s="6">
        <v>46031</v>
      </c>
      <c r="D277" s="1" t="s">
        <v>152</v>
      </c>
      <c r="E277" s="1" t="s">
        <v>50</v>
      </c>
      <c r="F277" s="1" t="s">
        <v>40</v>
      </c>
      <c r="G277" s="1" t="s">
        <v>41</v>
      </c>
      <c r="H277" s="1" t="s">
        <v>42</v>
      </c>
      <c r="I277">
        <v>1</v>
      </c>
      <c r="J277">
        <v>1250</v>
      </c>
      <c r="K277">
        <v>940</v>
      </c>
      <c r="L277">
        <v>0</v>
      </c>
      <c r="M277" s="1" t="s">
        <v>23</v>
      </c>
      <c r="N277" s="1" t="s">
        <v>36</v>
      </c>
      <c r="O277">
        <v>940</v>
      </c>
      <c r="P277">
        <v>1250</v>
      </c>
      <c r="Q277">
        <v>940</v>
      </c>
      <c r="R277">
        <v>310</v>
      </c>
      <c r="S277">
        <v>0.248</v>
      </c>
    </row>
    <row r="278" spans="1:19" x14ac:dyDescent="0.3">
      <c r="A278" s="1" t="s">
        <v>625</v>
      </c>
      <c r="B278" s="7">
        <f>MONTH(Clean_Sales[[#This Row],[Order_Date]])</f>
        <v>6</v>
      </c>
      <c r="C278" s="6">
        <v>46191</v>
      </c>
      <c r="D278" s="1" t="s">
        <v>302</v>
      </c>
      <c r="E278" s="1" t="s">
        <v>50</v>
      </c>
      <c r="F278" s="1" t="s">
        <v>72</v>
      </c>
      <c r="G278" s="1" t="s">
        <v>73</v>
      </c>
      <c r="H278" s="1" t="s">
        <v>74</v>
      </c>
      <c r="I278">
        <v>3</v>
      </c>
      <c r="J278">
        <v>65</v>
      </c>
      <c r="K278">
        <v>35</v>
      </c>
      <c r="L278">
        <v>0.05</v>
      </c>
      <c r="M278" s="1" t="s">
        <v>46</v>
      </c>
      <c r="N278" s="1" t="s">
        <v>36</v>
      </c>
      <c r="O278">
        <v>35</v>
      </c>
      <c r="P278">
        <v>185.25</v>
      </c>
      <c r="Q278">
        <v>105</v>
      </c>
      <c r="R278">
        <v>80.25</v>
      </c>
      <c r="S278">
        <v>0.43319838056680199</v>
      </c>
    </row>
    <row r="279" spans="1:19" x14ac:dyDescent="0.3">
      <c r="A279" s="1" t="s">
        <v>626</v>
      </c>
      <c r="B279" s="7">
        <f>MONTH(Clean_Sales[[#This Row],[Order_Date]])</f>
        <v>1</v>
      </c>
      <c r="C279" s="6">
        <v>46030</v>
      </c>
      <c r="D279" s="1" t="s">
        <v>345</v>
      </c>
      <c r="E279" s="1" t="s">
        <v>59</v>
      </c>
      <c r="F279" s="1" t="s">
        <v>89</v>
      </c>
      <c r="G279" s="1" t="s">
        <v>90</v>
      </c>
      <c r="H279" s="1" t="s">
        <v>74</v>
      </c>
      <c r="I279">
        <v>5</v>
      </c>
      <c r="J279">
        <v>85</v>
      </c>
      <c r="K279">
        <v>48</v>
      </c>
      <c r="L279">
        <v>0.15</v>
      </c>
      <c r="M279" s="1" t="s">
        <v>23</v>
      </c>
      <c r="N279" s="1" t="s">
        <v>36</v>
      </c>
      <c r="O279">
        <v>48</v>
      </c>
      <c r="P279">
        <v>361.25</v>
      </c>
      <c r="Q279">
        <v>240</v>
      </c>
      <c r="R279">
        <v>121.25</v>
      </c>
      <c r="S279">
        <v>0.33564013840830398</v>
      </c>
    </row>
    <row r="280" spans="1:19" x14ac:dyDescent="0.3">
      <c r="A280" s="1" t="s">
        <v>628</v>
      </c>
      <c r="B280" s="7">
        <f>MONTH(Clean_Sales[[#This Row],[Order_Date]])</f>
        <v>1</v>
      </c>
      <c r="C280" s="6">
        <v>46025</v>
      </c>
      <c r="D280" s="1" t="s">
        <v>327</v>
      </c>
      <c r="E280" s="1" t="s">
        <v>50</v>
      </c>
      <c r="F280" s="1" t="s">
        <v>72</v>
      </c>
      <c r="G280" s="1" t="s">
        <v>73</v>
      </c>
      <c r="H280" s="1" t="s">
        <v>74</v>
      </c>
      <c r="I280">
        <v>4</v>
      </c>
      <c r="J280">
        <v>65</v>
      </c>
      <c r="K280">
        <v>35</v>
      </c>
      <c r="L280">
        <v>0</v>
      </c>
      <c r="M280" s="1" t="s">
        <v>23</v>
      </c>
      <c r="N280" s="1" t="s">
        <v>36</v>
      </c>
      <c r="O280">
        <v>35</v>
      </c>
      <c r="P280">
        <v>260</v>
      </c>
      <c r="Q280">
        <v>140</v>
      </c>
      <c r="R280">
        <v>120</v>
      </c>
      <c r="S280">
        <v>0.46153846153846201</v>
      </c>
    </row>
    <row r="281" spans="1:19" x14ac:dyDescent="0.3">
      <c r="A281" s="1" t="s">
        <v>629</v>
      </c>
      <c r="B281" s="7">
        <f>MONTH(Clean_Sales[[#This Row],[Order_Date]])</f>
        <v>5</v>
      </c>
      <c r="C281" s="6">
        <v>46157</v>
      </c>
      <c r="D281" s="1" t="s">
        <v>123</v>
      </c>
      <c r="E281" s="1" t="s">
        <v>28</v>
      </c>
      <c r="F281" s="1" t="s">
        <v>106</v>
      </c>
      <c r="G281" s="1" t="s">
        <v>107</v>
      </c>
      <c r="H281" s="1" t="s">
        <v>31</v>
      </c>
      <c r="I281">
        <v>4</v>
      </c>
      <c r="J281">
        <v>190</v>
      </c>
      <c r="K281">
        <v>115</v>
      </c>
      <c r="L281">
        <v>0</v>
      </c>
      <c r="M281" s="1" t="s">
        <v>23</v>
      </c>
      <c r="N281" s="1" t="s">
        <v>36</v>
      </c>
      <c r="O281">
        <v>115</v>
      </c>
      <c r="P281">
        <v>760</v>
      </c>
      <c r="Q281">
        <v>460</v>
      </c>
      <c r="R281">
        <v>300</v>
      </c>
      <c r="S281">
        <v>0.394736842105263</v>
      </c>
    </row>
    <row r="282" spans="1:19" x14ac:dyDescent="0.3">
      <c r="A282" s="1" t="s">
        <v>632</v>
      </c>
      <c r="B282" s="7">
        <f>MONTH(Clean_Sales[[#This Row],[Order_Date]])</f>
        <v>1</v>
      </c>
      <c r="C282" s="6">
        <v>46046</v>
      </c>
      <c r="D282" s="1" t="s">
        <v>205</v>
      </c>
      <c r="E282" s="1" t="s">
        <v>28</v>
      </c>
      <c r="F282" s="1" t="s">
        <v>40</v>
      </c>
      <c r="G282" s="1" t="s">
        <v>41</v>
      </c>
      <c r="H282" s="1" t="s">
        <v>42</v>
      </c>
      <c r="I282">
        <v>2</v>
      </c>
      <c r="J282">
        <v>1250</v>
      </c>
      <c r="K282">
        <v>940</v>
      </c>
      <c r="L282">
        <v>0</v>
      </c>
      <c r="M282" s="1" t="s">
        <v>46</v>
      </c>
      <c r="N282" s="1" t="s">
        <v>36</v>
      </c>
      <c r="O282">
        <v>940</v>
      </c>
      <c r="P282">
        <v>2500</v>
      </c>
      <c r="Q282">
        <v>1880</v>
      </c>
      <c r="R282">
        <v>620</v>
      </c>
      <c r="S282">
        <v>0.248</v>
      </c>
    </row>
    <row r="283" spans="1:19" x14ac:dyDescent="0.3">
      <c r="A283" s="1" t="s">
        <v>633</v>
      </c>
      <c r="B283" s="7">
        <f>MONTH(Clean_Sales[[#This Row],[Order_Date]])</f>
        <v>1</v>
      </c>
      <c r="C283" s="6">
        <v>46050</v>
      </c>
      <c r="D283" s="1" t="s">
        <v>610</v>
      </c>
      <c r="E283" s="1" t="s">
        <v>28</v>
      </c>
      <c r="F283" s="1" t="s">
        <v>17</v>
      </c>
      <c r="G283" s="1" t="s">
        <v>18</v>
      </c>
      <c r="H283" s="1" t="s">
        <v>74</v>
      </c>
      <c r="I283">
        <v>8</v>
      </c>
      <c r="J283">
        <v>25</v>
      </c>
      <c r="K283">
        <v>12</v>
      </c>
      <c r="L283">
        <v>0.15</v>
      </c>
      <c r="M283" s="1" t="s">
        <v>23</v>
      </c>
      <c r="N283" s="1" t="s">
        <v>36</v>
      </c>
      <c r="O283">
        <v>12</v>
      </c>
      <c r="P283">
        <v>170</v>
      </c>
      <c r="Q283">
        <v>96</v>
      </c>
      <c r="R283">
        <v>74</v>
      </c>
      <c r="S283">
        <v>0.435294117647059</v>
      </c>
    </row>
    <row r="284" spans="1:19" x14ac:dyDescent="0.3">
      <c r="A284" s="1" t="s">
        <v>634</v>
      </c>
      <c r="B284" s="7">
        <f>MONTH(Clean_Sales[[#This Row],[Order_Date]])</f>
        <v>2</v>
      </c>
      <c r="C284" s="6">
        <v>46054</v>
      </c>
      <c r="D284" s="1" t="s">
        <v>302</v>
      </c>
      <c r="E284" s="1" t="s">
        <v>28</v>
      </c>
      <c r="F284" s="1" t="s">
        <v>29</v>
      </c>
      <c r="G284" s="1" t="s">
        <v>30</v>
      </c>
      <c r="H284" s="1" t="s">
        <v>31</v>
      </c>
      <c r="I284">
        <v>7</v>
      </c>
      <c r="J284">
        <v>280</v>
      </c>
      <c r="K284">
        <v>190</v>
      </c>
      <c r="L284">
        <v>0.15</v>
      </c>
      <c r="M284" s="1" t="s">
        <v>46</v>
      </c>
      <c r="N284" s="1" t="s">
        <v>36</v>
      </c>
      <c r="O284">
        <v>190</v>
      </c>
      <c r="P284">
        <v>1666</v>
      </c>
      <c r="Q284">
        <v>1330</v>
      </c>
      <c r="R284">
        <v>336</v>
      </c>
      <c r="S284">
        <v>0.20168067226890801</v>
      </c>
    </row>
    <row r="285" spans="1:19" x14ac:dyDescent="0.3">
      <c r="A285" s="1" t="s">
        <v>636</v>
      </c>
      <c r="B285" s="7">
        <f>MONTH(Clean_Sales[[#This Row],[Order_Date]])</f>
        <v>1</v>
      </c>
      <c r="C285" s="6">
        <v>46053</v>
      </c>
      <c r="D285" s="1" t="s">
        <v>462</v>
      </c>
      <c r="E285" s="1" t="s">
        <v>28</v>
      </c>
      <c r="F285" s="1" t="s">
        <v>29</v>
      </c>
      <c r="G285" s="1" t="s">
        <v>30</v>
      </c>
      <c r="H285" s="1" t="s">
        <v>31</v>
      </c>
      <c r="I285">
        <v>6</v>
      </c>
      <c r="J285">
        <v>280</v>
      </c>
      <c r="K285">
        <v>190</v>
      </c>
      <c r="L285">
        <v>0.15</v>
      </c>
      <c r="M285" s="1" t="s">
        <v>23</v>
      </c>
      <c r="N285" s="1" t="s">
        <v>36</v>
      </c>
      <c r="O285">
        <v>190</v>
      </c>
      <c r="P285">
        <v>1428</v>
      </c>
      <c r="Q285">
        <v>1140</v>
      </c>
      <c r="R285">
        <v>288</v>
      </c>
      <c r="S285">
        <v>0.20168067226890801</v>
      </c>
    </row>
    <row r="286" spans="1:19" x14ac:dyDescent="0.3">
      <c r="A286" s="1" t="s">
        <v>637</v>
      </c>
      <c r="B286" s="7">
        <f>MONTH(Clean_Sales[[#This Row],[Order_Date]])</f>
        <v>4</v>
      </c>
      <c r="C286" s="6">
        <v>46115</v>
      </c>
      <c r="D286" s="1" t="s">
        <v>610</v>
      </c>
      <c r="E286" s="1" t="s">
        <v>28</v>
      </c>
      <c r="F286" s="1" t="s">
        <v>72</v>
      </c>
      <c r="G286" s="1" t="s">
        <v>73</v>
      </c>
      <c r="H286" s="1" t="s">
        <v>74</v>
      </c>
      <c r="I286">
        <v>1</v>
      </c>
      <c r="J286">
        <v>65</v>
      </c>
      <c r="K286">
        <v>35</v>
      </c>
      <c r="L286">
        <v>0.15</v>
      </c>
      <c r="M286" s="1" t="s">
        <v>46</v>
      </c>
      <c r="N286" s="1" t="s">
        <v>36</v>
      </c>
      <c r="O286">
        <v>35</v>
      </c>
      <c r="P286">
        <v>55.25</v>
      </c>
      <c r="Q286">
        <v>35</v>
      </c>
      <c r="R286">
        <v>20.25</v>
      </c>
      <c r="S286">
        <v>0.36651583710407198</v>
      </c>
    </row>
    <row r="287" spans="1:19" x14ac:dyDescent="0.3">
      <c r="A287" s="1" t="s">
        <v>638</v>
      </c>
      <c r="B287" s="7">
        <f>MONTH(Clean_Sales[[#This Row],[Order_Date]])</f>
        <v>3</v>
      </c>
      <c r="C287" s="6">
        <v>46099</v>
      </c>
      <c r="D287" s="1" t="s">
        <v>175</v>
      </c>
      <c r="E287" s="1" t="s">
        <v>59</v>
      </c>
      <c r="F287" s="1" t="s">
        <v>64</v>
      </c>
      <c r="G287" s="1" t="s">
        <v>65</v>
      </c>
      <c r="H287" s="1" t="s">
        <v>42</v>
      </c>
      <c r="I287">
        <v>4</v>
      </c>
      <c r="J287">
        <v>360</v>
      </c>
      <c r="K287">
        <v>250</v>
      </c>
      <c r="L287">
        <v>0.15</v>
      </c>
      <c r="M287" s="1" t="s">
        <v>23</v>
      </c>
      <c r="N287" s="1" t="s">
        <v>36</v>
      </c>
      <c r="O287">
        <v>250</v>
      </c>
      <c r="P287">
        <v>1224</v>
      </c>
      <c r="Q287">
        <v>1000</v>
      </c>
      <c r="R287">
        <v>224</v>
      </c>
      <c r="S287">
        <v>0.18300653594771199</v>
      </c>
    </row>
    <row r="288" spans="1:19" x14ac:dyDescent="0.3">
      <c r="A288" s="1" t="s">
        <v>639</v>
      </c>
      <c r="B288" s="7">
        <f>MONTH(Clean_Sales[[#This Row],[Order_Date]])</f>
        <v>4</v>
      </c>
      <c r="C288" s="6">
        <v>46118</v>
      </c>
      <c r="D288" s="1" t="s">
        <v>390</v>
      </c>
      <c r="E288" s="1" t="s">
        <v>50</v>
      </c>
      <c r="F288" s="1" t="s">
        <v>89</v>
      </c>
      <c r="G288" s="1" t="s">
        <v>90</v>
      </c>
      <c r="H288" s="1" t="s">
        <v>74</v>
      </c>
      <c r="I288">
        <v>6</v>
      </c>
      <c r="J288">
        <v>85</v>
      </c>
      <c r="K288">
        <v>48</v>
      </c>
      <c r="L288">
        <v>0</v>
      </c>
      <c r="M288" s="1" t="s">
        <v>23</v>
      </c>
      <c r="N288" s="1" t="s">
        <v>36</v>
      </c>
      <c r="O288">
        <v>48</v>
      </c>
      <c r="P288">
        <v>510</v>
      </c>
      <c r="Q288">
        <v>288</v>
      </c>
      <c r="R288">
        <v>222</v>
      </c>
      <c r="S288">
        <v>0.435294117647059</v>
      </c>
    </row>
    <row r="289" spans="1:19" x14ac:dyDescent="0.3">
      <c r="A289" s="1" t="s">
        <v>640</v>
      </c>
      <c r="B289" s="7">
        <f>MONTH(Clean_Sales[[#This Row],[Order_Date]])</f>
        <v>3</v>
      </c>
      <c r="C289" s="6">
        <v>46101</v>
      </c>
      <c r="D289" s="1" t="s">
        <v>211</v>
      </c>
      <c r="E289" s="1" t="s">
        <v>59</v>
      </c>
      <c r="F289" s="1" t="s">
        <v>40</v>
      </c>
      <c r="G289" s="1" t="s">
        <v>41</v>
      </c>
      <c r="H289" s="1" t="s">
        <v>42</v>
      </c>
      <c r="I289">
        <v>4</v>
      </c>
      <c r="J289">
        <v>1250</v>
      </c>
      <c r="K289">
        <v>940</v>
      </c>
      <c r="L289">
        <v>0.1</v>
      </c>
      <c r="M289" s="1" t="s">
        <v>46</v>
      </c>
      <c r="N289" s="1" t="s">
        <v>36</v>
      </c>
      <c r="O289">
        <v>940</v>
      </c>
      <c r="P289">
        <v>4500</v>
      </c>
      <c r="Q289">
        <v>3760</v>
      </c>
      <c r="R289">
        <v>740</v>
      </c>
      <c r="S289">
        <v>0.164444444444444</v>
      </c>
    </row>
    <row r="290" spans="1:19" x14ac:dyDescent="0.3">
      <c r="A290" s="1" t="s">
        <v>642</v>
      </c>
      <c r="B290" s="7">
        <f>MONTH(Clean_Sales[[#This Row],[Order_Date]])</f>
        <v>1</v>
      </c>
      <c r="C290" s="6">
        <v>46032</v>
      </c>
      <c r="D290" s="1" t="s">
        <v>117</v>
      </c>
      <c r="E290" s="1" t="s">
        <v>28</v>
      </c>
      <c r="F290" s="1" t="s">
        <v>64</v>
      </c>
      <c r="G290" s="1" t="s">
        <v>65</v>
      </c>
      <c r="H290" s="1" t="s">
        <v>42</v>
      </c>
      <c r="I290">
        <v>4</v>
      </c>
      <c r="J290">
        <v>360</v>
      </c>
      <c r="K290">
        <v>250</v>
      </c>
      <c r="L290">
        <v>0.05</v>
      </c>
      <c r="M290" s="1" t="s">
        <v>46</v>
      </c>
      <c r="N290" s="1" t="s">
        <v>36</v>
      </c>
      <c r="O290">
        <v>250</v>
      </c>
      <c r="P290">
        <v>1368</v>
      </c>
      <c r="Q290">
        <v>1000</v>
      </c>
      <c r="R290">
        <v>368</v>
      </c>
      <c r="S290">
        <v>0.26900584795321603</v>
      </c>
    </row>
    <row r="291" spans="1:19" x14ac:dyDescent="0.3">
      <c r="A291" s="1" t="s">
        <v>644</v>
      </c>
      <c r="B291" s="7">
        <f>MONTH(Clean_Sales[[#This Row],[Order_Date]])</f>
        <v>1</v>
      </c>
      <c r="C291" s="6">
        <v>46053</v>
      </c>
      <c r="D291" s="1" t="s">
        <v>202</v>
      </c>
      <c r="E291" s="1" t="s">
        <v>50</v>
      </c>
      <c r="F291" s="1" t="s">
        <v>17</v>
      </c>
      <c r="G291" s="1" t="s">
        <v>18</v>
      </c>
      <c r="H291" s="1" t="s">
        <v>74</v>
      </c>
      <c r="I291">
        <v>6</v>
      </c>
      <c r="J291">
        <v>25</v>
      </c>
      <c r="K291">
        <v>12</v>
      </c>
      <c r="L291">
        <v>0.15</v>
      </c>
      <c r="M291" s="1" t="s">
        <v>23</v>
      </c>
      <c r="N291" s="1" t="s">
        <v>36</v>
      </c>
      <c r="O291">
        <v>12</v>
      </c>
      <c r="P291">
        <v>127.5</v>
      </c>
      <c r="Q291">
        <v>72</v>
      </c>
      <c r="R291">
        <v>55.5</v>
      </c>
      <c r="S291">
        <v>0.435294117647059</v>
      </c>
    </row>
    <row r="292" spans="1:19" x14ac:dyDescent="0.3">
      <c r="A292" s="1" t="s">
        <v>645</v>
      </c>
      <c r="B292" s="7">
        <f>MONTH(Clean_Sales[[#This Row],[Order_Date]])</f>
        <v>4</v>
      </c>
      <c r="C292" s="6">
        <v>46116</v>
      </c>
      <c r="D292" s="1" t="s">
        <v>132</v>
      </c>
      <c r="E292" s="1" t="s">
        <v>50</v>
      </c>
      <c r="F292" s="1" t="s">
        <v>51</v>
      </c>
      <c r="G292" s="1" t="s">
        <v>52</v>
      </c>
      <c r="H292" s="1" t="s">
        <v>42</v>
      </c>
      <c r="I292">
        <v>6</v>
      </c>
      <c r="J292">
        <v>310</v>
      </c>
      <c r="K292">
        <v>220</v>
      </c>
      <c r="L292">
        <v>0.05</v>
      </c>
      <c r="M292" s="1" t="s">
        <v>46</v>
      </c>
      <c r="N292" s="1" t="s">
        <v>36</v>
      </c>
      <c r="O292">
        <v>220</v>
      </c>
      <c r="P292">
        <v>1767</v>
      </c>
      <c r="Q292">
        <v>1320</v>
      </c>
      <c r="R292">
        <v>447</v>
      </c>
      <c r="S292">
        <v>0.25297113752122202</v>
      </c>
    </row>
    <row r="293" spans="1:19" x14ac:dyDescent="0.3">
      <c r="A293" s="1" t="s">
        <v>646</v>
      </c>
      <c r="B293" s="7">
        <f>MONTH(Clean_Sales[[#This Row],[Order_Date]])</f>
        <v>5</v>
      </c>
      <c r="C293" s="6">
        <v>46165</v>
      </c>
      <c r="D293" s="1" t="s">
        <v>213</v>
      </c>
      <c r="E293" s="1" t="s">
        <v>59</v>
      </c>
      <c r="F293" s="1" t="s">
        <v>64</v>
      </c>
      <c r="G293" s="1" t="s">
        <v>65</v>
      </c>
      <c r="H293" s="1" t="s">
        <v>42</v>
      </c>
      <c r="I293">
        <v>8</v>
      </c>
      <c r="J293">
        <v>360</v>
      </c>
      <c r="K293">
        <v>250</v>
      </c>
      <c r="L293">
        <v>0.1</v>
      </c>
      <c r="M293" s="1" t="s">
        <v>46</v>
      </c>
      <c r="N293" s="1" t="s">
        <v>36</v>
      </c>
      <c r="O293">
        <v>250</v>
      </c>
      <c r="P293">
        <v>2592</v>
      </c>
      <c r="Q293">
        <v>2000</v>
      </c>
      <c r="R293">
        <v>592</v>
      </c>
      <c r="S293">
        <v>0.22839506172839499</v>
      </c>
    </row>
    <row r="294" spans="1:19" x14ac:dyDescent="0.3">
      <c r="A294" s="1" t="s">
        <v>648</v>
      </c>
      <c r="B294" s="7">
        <f>MONTH(Clean_Sales[[#This Row],[Order_Date]])</f>
        <v>2</v>
      </c>
      <c r="C294" s="6">
        <v>46059</v>
      </c>
      <c r="D294" s="1" t="s">
        <v>481</v>
      </c>
      <c r="E294" s="1" t="s">
        <v>50</v>
      </c>
      <c r="F294" s="1" t="s">
        <v>51</v>
      </c>
      <c r="G294" s="1" t="s">
        <v>52</v>
      </c>
      <c r="H294" s="1" t="s">
        <v>42</v>
      </c>
      <c r="I294">
        <v>6</v>
      </c>
      <c r="J294">
        <v>310</v>
      </c>
      <c r="K294">
        <v>220</v>
      </c>
      <c r="L294">
        <v>0.1</v>
      </c>
      <c r="M294" s="1" t="s">
        <v>23</v>
      </c>
      <c r="N294" s="1" t="s">
        <v>36</v>
      </c>
      <c r="O294">
        <v>220</v>
      </c>
      <c r="P294">
        <v>1674</v>
      </c>
      <c r="Q294">
        <v>1320</v>
      </c>
      <c r="R294">
        <v>354</v>
      </c>
      <c r="S294">
        <v>0.21146953405017899</v>
      </c>
    </row>
    <row r="295" spans="1:19" x14ac:dyDescent="0.3">
      <c r="A295" s="1" t="s">
        <v>649</v>
      </c>
      <c r="B295" s="7">
        <f>MONTH(Clean_Sales[[#This Row],[Order_Date]])</f>
        <v>2</v>
      </c>
      <c r="C295" s="6">
        <v>46074</v>
      </c>
      <c r="D295" s="1" t="s">
        <v>271</v>
      </c>
      <c r="E295" s="1" t="s">
        <v>28</v>
      </c>
      <c r="F295" s="1" t="s">
        <v>51</v>
      </c>
      <c r="G295" s="1" t="s">
        <v>52</v>
      </c>
      <c r="H295" s="1" t="s">
        <v>42</v>
      </c>
      <c r="I295">
        <v>3</v>
      </c>
      <c r="J295">
        <v>310</v>
      </c>
      <c r="K295">
        <v>220</v>
      </c>
      <c r="L295">
        <v>0.15</v>
      </c>
      <c r="M295" s="1" t="s">
        <v>46</v>
      </c>
      <c r="N295" s="1" t="s">
        <v>36</v>
      </c>
      <c r="O295">
        <v>220</v>
      </c>
      <c r="P295">
        <v>790.5</v>
      </c>
      <c r="Q295">
        <v>660</v>
      </c>
      <c r="R295">
        <v>130.5</v>
      </c>
      <c r="S295">
        <v>0.165085388994307</v>
      </c>
    </row>
    <row r="296" spans="1:19" x14ac:dyDescent="0.3">
      <c r="A296" s="1" t="s">
        <v>651</v>
      </c>
      <c r="B296" s="7">
        <f>MONTH(Clean_Sales[[#This Row],[Order_Date]])</f>
        <v>3</v>
      </c>
      <c r="C296" s="6">
        <v>46097</v>
      </c>
      <c r="D296" s="1" t="s">
        <v>202</v>
      </c>
      <c r="E296" s="1" t="s">
        <v>124</v>
      </c>
      <c r="F296" s="1" t="s">
        <v>51</v>
      </c>
      <c r="G296" s="1" t="s">
        <v>52</v>
      </c>
      <c r="H296" s="1" t="s">
        <v>42</v>
      </c>
      <c r="I296">
        <v>1</v>
      </c>
      <c r="J296">
        <v>310</v>
      </c>
      <c r="K296">
        <v>220</v>
      </c>
      <c r="L296">
        <v>0.05</v>
      </c>
      <c r="M296" s="1" t="s">
        <v>23</v>
      </c>
      <c r="N296" s="1" t="s">
        <v>36</v>
      </c>
      <c r="O296">
        <v>220</v>
      </c>
      <c r="P296">
        <v>294.5</v>
      </c>
      <c r="Q296">
        <v>220</v>
      </c>
      <c r="R296">
        <v>74.5</v>
      </c>
      <c r="S296">
        <v>0.25297113752122202</v>
      </c>
    </row>
    <row r="297" spans="1:19" x14ac:dyDescent="0.3">
      <c r="A297" s="1" t="s">
        <v>652</v>
      </c>
      <c r="B297" s="7">
        <f>MONTH(Clean_Sales[[#This Row],[Order_Date]])</f>
        <v>4</v>
      </c>
      <c r="C297" s="6">
        <v>46130</v>
      </c>
      <c r="D297" s="1" t="s">
        <v>71</v>
      </c>
      <c r="E297" s="1" t="s">
        <v>28</v>
      </c>
      <c r="F297" s="1" t="s">
        <v>51</v>
      </c>
      <c r="G297" s="1" t="s">
        <v>52</v>
      </c>
      <c r="H297" s="1" t="s">
        <v>42</v>
      </c>
      <c r="I297">
        <v>7</v>
      </c>
      <c r="J297">
        <v>310</v>
      </c>
      <c r="K297">
        <v>220</v>
      </c>
      <c r="L297">
        <v>0.1</v>
      </c>
      <c r="M297" s="1" t="s">
        <v>46</v>
      </c>
      <c r="N297" s="1" t="s">
        <v>36</v>
      </c>
      <c r="O297">
        <v>220</v>
      </c>
      <c r="P297">
        <v>1953</v>
      </c>
      <c r="Q297">
        <v>1540</v>
      </c>
      <c r="R297">
        <v>413</v>
      </c>
      <c r="S297">
        <v>0.21146953405017899</v>
      </c>
    </row>
    <row r="298" spans="1:19" x14ac:dyDescent="0.3">
      <c r="A298" s="1" t="s">
        <v>653</v>
      </c>
      <c r="B298" s="7">
        <f>MONTH(Clean_Sales[[#This Row],[Order_Date]])</f>
        <v>4</v>
      </c>
      <c r="C298" s="6">
        <v>46116</v>
      </c>
      <c r="D298" s="1" t="s">
        <v>63</v>
      </c>
      <c r="E298" s="1" t="s">
        <v>124</v>
      </c>
      <c r="F298" s="1" t="s">
        <v>89</v>
      </c>
      <c r="G298" s="1" t="s">
        <v>90</v>
      </c>
      <c r="H298" s="1" t="s">
        <v>74</v>
      </c>
      <c r="I298">
        <v>5</v>
      </c>
      <c r="J298">
        <v>85</v>
      </c>
      <c r="K298">
        <v>48</v>
      </c>
      <c r="L298">
        <v>0.05</v>
      </c>
      <c r="M298" s="1" t="s">
        <v>46</v>
      </c>
      <c r="N298" s="1" t="s">
        <v>36</v>
      </c>
      <c r="O298">
        <v>48</v>
      </c>
      <c r="P298">
        <v>403.75</v>
      </c>
      <c r="Q298">
        <v>240</v>
      </c>
      <c r="R298">
        <v>163.75</v>
      </c>
      <c r="S298">
        <v>0.40557275541795701</v>
      </c>
    </row>
    <row r="299" spans="1:19" x14ac:dyDescent="0.3">
      <c r="A299" s="1" t="s">
        <v>654</v>
      </c>
      <c r="B299" s="7">
        <f>MONTH(Clean_Sales[[#This Row],[Order_Date]])</f>
        <v>6</v>
      </c>
      <c r="C299" s="6">
        <v>46182</v>
      </c>
      <c r="D299" s="1" t="s">
        <v>145</v>
      </c>
      <c r="E299" s="1" t="s">
        <v>59</v>
      </c>
      <c r="F299" s="1" t="s">
        <v>89</v>
      </c>
      <c r="G299" s="1" t="s">
        <v>90</v>
      </c>
      <c r="H299" s="1" t="s">
        <v>74</v>
      </c>
      <c r="I299">
        <v>2</v>
      </c>
      <c r="J299">
        <v>85</v>
      </c>
      <c r="K299">
        <v>48</v>
      </c>
      <c r="L299">
        <v>0.15</v>
      </c>
      <c r="M299" s="1" t="s">
        <v>23</v>
      </c>
      <c r="N299" s="1" t="s">
        <v>36</v>
      </c>
      <c r="O299">
        <v>48</v>
      </c>
      <c r="P299">
        <v>144.5</v>
      </c>
      <c r="Q299">
        <v>96</v>
      </c>
      <c r="R299">
        <v>48.5</v>
      </c>
      <c r="S299">
        <v>0.33564013840830398</v>
      </c>
    </row>
    <row r="300" spans="1:19" x14ac:dyDescent="0.3">
      <c r="A300" s="1" t="s">
        <v>656</v>
      </c>
      <c r="B300" s="7">
        <f>MONTH(Clean_Sales[[#This Row],[Order_Date]])</f>
        <v>5</v>
      </c>
      <c r="C300" s="6">
        <v>46167</v>
      </c>
      <c r="D300" s="1" t="s">
        <v>71</v>
      </c>
      <c r="E300" s="1" t="s">
        <v>28</v>
      </c>
      <c r="F300" s="1" t="s">
        <v>40</v>
      </c>
      <c r="G300" s="1" t="s">
        <v>41</v>
      </c>
      <c r="H300" s="1" t="s">
        <v>42</v>
      </c>
      <c r="I300">
        <v>5</v>
      </c>
      <c r="J300">
        <v>1250</v>
      </c>
      <c r="K300">
        <v>940</v>
      </c>
      <c r="L300">
        <v>0.15</v>
      </c>
      <c r="M300" s="1" t="s">
        <v>46</v>
      </c>
      <c r="N300" s="1" t="s">
        <v>36</v>
      </c>
      <c r="O300">
        <v>940</v>
      </c>
      <c r="P300">
        <v>5312.5</v>
      </c>
      <c r="Q300">
        <v>4700</v>
      </c>
      <c r="R300">
        <v>612.5</v>
      </c>
      <c r="S300">
        <v>0.11529411764705901</v>
      </c>
    </row>
    <row r="301" spans="1:19" x14ac:dyDescent="0.3">
      <c r="A301" s="1" t="s">
        <v>657</v>
      </c>
      <c r="B301" s="7">
        <f>MONTH(Clean_Sales[[#This Row],[Order_Date]])</f>
        <v>2</v>
      </c>
      <c r="C301" s="6">
        <v>46073</v>
      </c>
      <c r="D301" s="1" t="s">
        <v>99</v>
      </c>
      <c r="E301" s="1" t="s">
        <v>124</v>
      </c>
      <c r="F301" s="1" t="s">
        <v>72</v>
      </c>
      <c r="G301" s="1" t="s">
        <v>73</v>
      </c>
      <c r="H301" s="1" t="s">
        <v>74</v>
      </c>
      <c r="I301">
        <v>1</v>
      </c>
      <c r="J301">
        <v>65</v>
      </c>
      <c r="K301">
        <v>35</v>
      </c>
      <c r="L301">
        <v>0</v>
      </c>
      <c r="M301" s="1" t="s">
        <v>46</v>
      </c>
      <c r="N301" s="1" t="s">
        <v>36</v>
      </c>
      <c r="O301">
        <v>35</v>
      </c>
      <c r="P301">
        <v>65</v>
      </c>
      <c r="Q301">
        <v>35</v>
      </c>
      <c r="R301">
        <v>30</v>
      </c>
      <c r="S301">
        <v>0.46153846153846201</v>
      </c>
    </row>
    <row r="302" spans="1:19" x14ac:dyDescent="0.3">
      <c r="A302" s="1" t="s">
        <v>658</v>
      </c>
      <c r="B302" s="7">
        <f>MONTH(Clean_Sales[[#This Row],[Order_Date]])</f>
        <v>5</v>
      </c>
      <c r="C302" s="6">
        <v>46160</v>
      </c>
      <c r="D302" s="1" t="s">
        <v>364</v>
      </c>
      <c r="E302" s="1" t="s">
        <v>124</v>
      </c>
      <c r="F302" s="1" t="s">
        <v>64</v>
      </c>
      <c r="G302" s="1" t="s">
        <v>65</v>
      </c>
      <c r="H302" s="1" t="s">
        <v>42</v>
      </c>
      <c r="I302">
        <v>3</v>
      </c>
      <c r="J302">
        <v>360</v>
      </c>
      <c r="K302">
        <v>250</v>
      </c>
      <c r="L302">
        <v>0.1</v>
      </c>
      <c r="M302" s="1" t="s">
        <v>46</v>
      </c>
      <c r="N302" s="1" t="s">
        <v>36</v>
      </c>
      <c r="O302">
        <v>250</v>
      </c>
      <c r="P302">
        <v>972</v>
      </c>
      <c r="Q302">
        <v>750</v>
      </c>
      <c r="R302">
        <v>222</v>
      </c>
      <c r="S302">
        <v>0.22839506172839499</v>
      </c>
    </row>
    <row r="303" spans="1:19" x14ac:dyDescent="0.3">
      <c r="A303" s="1" t="s">
        <v>659</v>
      </c>
      <c r="B303" s="7">
        <f>MONTH(Clean_Sales[[#This Row],[Order_Date]])</f>
        <v>5</v>
      </c>
      <c r="C303" s="6">
        <v>46149</v>
      </c>
      <c r="D303" s="1" t="s">
        <v>49</v>
      </c>
      <c r="E303" s="1" t="s">
        <v>124</v>
      </c>
      <c r="F303" s="1" t="s">
        <v>51</v>
      </c>
      <c r="G303" s="1" t="s">
        <v>52</v>
      </c>
      <c r="H303" s="1" t="s">
        <v>42</v>
      </c>
      <c r="I303">
        <v>4</v>
      </c>
      <c r="J303">
        <v>310</v>
      </c>
      <c r="K303">
        <v>220</v>
      </c>
      <c r="L303">
        <v>0</v>
      </c>
      <c r="M303" s="1" t="s">
        <v>46</v>
      </c>
      <c r="N303" s="1" t="s">
        <v>36</v>
      </c>
      <c r="O303">
        <v>220</v>
      </c>
      <c r="P303">
        <v>1240</v>
      </c>
      <c r="Q303">
        <v>880</v>
      </c>
      <c r="R303">
        <v>360</v>
      </c>
      <c r="S303">
        <v>0.29032258064516098</v>
      </c>
    </row>
    <row r="304" spans="1:19" x14ac:dyDescent="0.3">
      <c r="A304" s="1" t="s">
        <v>661</v>
      </c>
      <c r="B304" s="7">
        <f>MONTH(Clean_Sales[[#This Row],[Order_Date]])</f>
        <v>2</v>
      </c>
      <c r="C304" s="6">
        <v>46063</v>
      </c>
      <c r="D304" s="1" t="s">
        <v>345</v>
      </c>
      <c r="E304" s="1" t="s">
        <v>28</v>
      </c>
      <c r="F304" s="1" t="s">
        <v>29</v>
      </c>
      <c r="G304" s="1" t="s">
        <v>30</v>
      </c>
      <c r="H304" s="1" t="s">
        <v>31</v>
      </c>
      <c r="I304">
        <v>5</v>
      </c>
      <c r="J304">
        <v>280</v>
      </c>
      <c r="K304">
        <v>190</v>
      </c>
      <c r="L304">
        <v>0.15</v>
      </c>
      <c r="M304" s="1" t="s">
        <v>23</v>
      </c>
      <c r="N304" s="1" t="s">
        <v>36</v>
      </c>
      <c r="O304">
        <v>190</v>
      </c>
      <c r="P304">
        <v>1190</v>
      </c>
      <c r="Q304">
        <v>950</v>
      </c>
      <c r="R304">
        <v>240</v>
      </c>
      <c r="S304">
        <v>0.20168067226890801</v>
      </c>
    </row>
    <row r="305" spans="1:19" x14ac:dyDescent="0.3">
      <c r="A305" s="1" t="s">
        <v>662</v>
      </c>
      <c r="B305" s="7">
        <f>MONTH(Clean_Sales[[#This Row],[Order_Date]])</f>
        <v>6</v>
      </c>
      <c r="C305" s="6">
        <v>46180</v>
      </c>
      <c r="D305" s="1" t="s">
        <v>238</v>
      </c>
      <c r="E305" s="1" t="s">
        <v>124</v>
      </c>
      <c r="F305" s="1" t="s">
        <v>89</v>
      </c>
      <c r="G305" s="1" t="s">
        <v>90</v>
      </c>
      <c r="H305" s="1" t="s">
        <v>74</v>
      </c>
      <c r="I305">
        <v>6</v>
      </c>
      <c r="J305">
        <v>85</v>
      </c>
      <c r="K305">
        <v>48</v>
      </c>
      <c r="L305">
        <v>0.05</v>
      </c>
      <c r="M305" s="1" t="s">
        <v>23</v>
      </c>
      <c r="N305" s="1" t="s">
        <v>36</v>
      </c>
      <c r="O305">
        <v>48</v>
      </c>
      <c r="P305">
        <v>484.5</v>
      </c>
      <c r="Q305">
        <v>288</v>
      </c>
      <c r="R305">
        <v>196.5</v>
      </c>
      <c r="S305">
        <v>0.40557275541795701</v>
      </c>
    </row>
    <row r="306" spans="1:19" x14ac:dyDescent="0.3">
      <c r="A306" s="1" t="s">
        <v>663</v>
      </c>
      <c r="B306" s="7">
        <f>MONTH(Clean_Sales[[#This Row],[Order_Date]])</f>
        <v>3</v>
      </c>
      <c r="C306" s="6">
        <v>46086</v>
      </c>
      <c r="D306" s="1" t="s">
        <v>88</v>
      </c>
      <c r="E306" s="1" t="s">
        <v>28</v>
      </c>
      <c r="F306" s="1" t="s">
        <v>89</v>
      </c>
      <c r="G306" s="1" t="s">
        <v>90</v>
      </c>
      <c r="H306" s="1" t="s">
        <v>74</v>
      </c>
      <c r="I306">
        <v>7</v>
      </c>
      <c r="J306">
        <v>85</v>
      </c>
      <c r="K306">
        <v>48</v>
      </c>
      <c r="L306">
        <v>0.1</v>
      </c>
      <c r="M306" s="1" t="s">
        <v>23</v>
      </c>
      <c r="N306" s="1" t="s">
        <v>36</v>
      </c>
      <c r="O306">
        <v>48</v>
      </c>
      <c r="P306">
        <v>535.5</v>
      </c>
      <c r="Q306">
        <v>336</v>
      </c>
      <c r="R306">
        <v>199.5</v>
      </c>
      <c r="S306">
        <v>0.37254901960784298</v>
      </c>
    </row>
    <row r="307" spans="1:19" x14ac:dyDescent="0.3">
      <c r="A307" s="1" t="s">
        <v>664</v>
      </c>
      <c r="B307" s="7">
        <f>MONTH(Clean_Sales[[#This Row],[Order_Date]])</f>
        <v>3</v>
      </c>
      <c r="C307" s="6">
        <v>46097</v>
      </c>
      <c r="D307" s="1" t="s">
        <v>497</v>
      </c>
      <c r="E307" s="1" t="s">
        <v>124</v>
      </c>
      <c r="F307" s="1" t="s">
        <v>29</v>
      </c>
      <c r="G307" s="1" t="s">
        <v>30</v>
      </c>
      <c r="H307" s="1" t="s">
        <v>31</v>
      </c>
      <c r="I307">
        <v>1</v>
      </c>
      <c r="J307">
        <v>280</v>
      </c>
      <c r="K307">
        <v>190</v>
      </c>
      <c r="L307">
        <v>0.05</v>
      </c>
      <c r="M307" s="1" t="s">
        <v>46</v>
      </c>
      <c r="N307" s="1" t="s">
        <v>36</v>
      </c>
      <c r="O307">
        <v>190</v>
      </c>
      <c r="P307">
        <v>266</v>
      </c>
      <c r="Q307">
        <v>190</v>
      </c>
      <c r="R307">
        <v>76</v>
      </c>
      <c r="S307">
        <v>0.28571428571428598</v>
      </c>
    </row>
    <row r="308" spans="1:19" x14ac:dyDescent="0.3">
      <c r="A308" s="1" t="s">
        <v>665</v>
      </c>
      <c r="B308" s="7">
        <f>MONTH(Clean_Sales[[#This Row],[Order_Date]])</f>
        <v>5</v>
      </c>
      <c r="C308" s="6">
        <v>46156</v>
      </c>
      <c r="D308" s="1" t="s">
        <v>260</v>
      </c>
      <c r="E308" s="1" t="s">
        <v>50</v>
      </c>
      <c r="F308" s="1" t="s">
        <v>64</v>
      </c>
      <c r="G308" s="1" t="s">
        <v>65</v>
      </c>
      <c r="H308" s="1" t="s">
        <v>42</v>
      </c>
      <c r="I308">
        <v>4</v>
      </c>
      <c r="J308">
        <v>360</v>
      </c>
      <c r="K308">
        <v>250</v>
      </c>
      <c r="L308">
        <v>0.1</v>
      </c>
      <c r="M308" s="1" t="s">
        <v>23</v>
      </c>
      <c r="N308" s="1" t="s">
        <v>36</v>
      </c>
      <c r="O308">
        <v>250</v>
      </c>
      <c r="P308">
        <v>1296</v>
      </c>
      <c r="Q308">
        <v>1000</v>
      </c>
      <c r="R308">
        <v>296</v>
      </c>
      <c r="S308">
        <v>0.22839506172839499</v>
      </c>
    </row>
    <row r="309" spans="1:19" x14ac:dyDescent="0.3">
      <c r="A309" s="1" t="s">
        <v>666</v>
      </c>
      <c r="B309" s="7">
        <f>MONTH(Clean_Sales[[#This Row],[Order_Date]])</f>
        <v>6</v>
      </c>
      <c r="C309" s="6">
        <v>46187</v>
      </c>
      <c r="D309" s="1" t="s">
        <v>194</v>
      </c>
      <c r="E309" s="1" t="s">
        <v>59</v>
      </c>
      <c r="F309" s="1" t="s">
        <v>106</v>
      </c>
      <c r="G309" s="1" t="s">
        <v>107</v>
      </c>
      <c r="H309" s="1" t="s">
        <v>31</v>
      </c>
      <c r="I309">
        <v>8</v>
      </c>
      <c r="J309">
        <v>190</v>
      </c>
      <c r="K309">
        <v>115</v>
      </c>
      <c r="L309">
        <v>0.05</v>
      </c>
      <c r="M309" s="1" t="s">
        <v>46</v>
      </c>
      <c r="N309" s="1" t="s">
        <v>36</v>
      </c>
      <c r="O309">
        <v>115</v>
      </c>
      <c r="P309">
        <v>1444</v>
      </c>
      <c r="Q309">
        <v>920</v>
      </c>
      <c r="R309">
        <v>524</v>
      </c>
      <c r="S309">
        <v>0.362880886426593</v>
      </c>
    </row>
    <row r="310" spans="1:19" x14ac:dyDescent="0.3">
      <c r="A310" s="1" t="s">
        <v>668</v>
      </c>
      <c r="B310" s="7">
        <f>MONTH(Clean_Sales[[#This Row],[Order_Date]])</f>
        <v>3</v>
      </c>
      <c r="C310" s="6">
        <v>46106</v>
      </c>
      <c r="D310" s="1" t="s">
        <v>289</v>
      </c>
      <c r="E310" s="1" t="s">
        <v>28</v>
      </c>
      <c r="F310" s="1" t="s">
        <v>106</v>
      </c>
      <c r="G310" s="1" t="s">
        <v>107</v>
      </c>
      <c r="H310" s="1" t="s">
        <v>31</v>
      </c>
      <c r="I310">
        <v>3</v>
      </c>
      <c r="J310">
        <v>190</v>
      </c>
      <c r="K310">
        <v>115</v>
      </c>
      <c r="L310">
        <v>0.05</v>
      </c>
      <c r="M310" s="1" t="s">
        <v>23</v>
      </c>
      <c r="N310" s="1" t="s">
        <v>36</v>
      </c>
      <c r="O310">
        <v>115</v>
      </c>
      <c r="P310">
        <v>541.5</v>
      </c>
      <c r="Q310">
        <v>345</v>
      </c>
      <c r="R310">
        <v>196.5</v>
      </c>
      <c r="S310">
        <v>0.362880886426593</v>
      </c>
    </row>
    <row r="311" spans="1:19" x14ac:dyDescent="0.3">
      <c r="A311" s="1" t="s">
        <v>669</v>
      </c>
      <c r="B311" s="7">
        <f>MONTH(Clean_Sales[[#This Row],[Order_Date]])</f>
        <v>6</v>
      </c>
      <c r="C311" s="6">
        <v>46196</v>
      </c>
      <c r="D311" s="1" t="s">
        <v>293</v>
      </c>
      <c r="E311" s="1" t="s">
        <v>50</v>
      </c>
      <c r="F311" s="1" t="s">
        <v>89</v>
      </c>
      <c r="G311" s="1" t="s">
        <v>90</v>
      </c>
      <c r="H311" s="1" t="s">
        <v>74</v>
      </c>
      <c r="I311">
        <v>4</v>
      </c>
      <c r="J311">
        <v>85</v>
      </c>
      <c r="K311">
        <v>48</v>
      </c>
      <c r="L311">
        <v>0.15</v>
      </c>
      <c r="M311" s="1" t="s">
        <v>46</v>
      </c>
      <c r="N311" s="1" t="s">
        <v>36</v>
      </c>
      <c r="O311">
        <v>48</v>
      </c>
      <c r="P311">
        <v>289</v>
      </c>
      <c r="Q311">
        <v>192</v>
      </c>
      <c r="R311">
        <v>97</v>
      </c>
      <c r="S311">
        <v>0.33564013840830398</v>
      </c>
    </row>
    <row r="312" spans="1:19" x14ac:dyDescent="0.3">
      <c r="A312" s="1" t="s">
        <v>670</v>
      </c>
      <c r="B312" s="7">
        <f>MONTH(Clean_Sales[[#This Row],[Order_Date]])</f>
        <v>1</v>
      </c>
      <c r="C312" s="6">
        <v>46050</v>
      </c>
      <c r="D312" s="1" t="s">
        <v>671</v>
      </c>
      <c r="E312" s="1" t="s">
        <v>28</v>
      </c>
      <c r="F312" s="1" t="s">
        <v>89</v>
      </c>
      <c r="G312" s="1" t="s">
        <v>90</v>
      </c>
      <c r="H312" s="1" t="s">
        <v>74</v>
      </c>
      <c r="I312">
        <v>5</v>
      </c>
      <c r="J312">
        <v>85</v>
      </c>
      <c r="K312">
        <v>48</v>
      </c>
      <c r="L312">
        <v>0</v>
      </c>
      <c r="M312" s="1" t="s">
        <v>23</v>
      </c>
      <c r="N312" s="1" t="s">
        <v>36</v>
      </c>
      <c r="O312">
        <v>48</v>
      </c>
      <c r="P312">
        <v>425</v>
      </c>
      <c r="Q312">
        <v>240</v>
      </c>
      <c r="R312">
        <v>185</v>
      </c>
      <c r="S312">
        <v>0.435294117647059</v>
      </c>
    </row>
    <row r="313" spans="1:19" x14ac:dyDescent="0.3">
      <c r="A313" s="1" t="s">
        <v>672</v>
      </c>
      <c r="B313" s="7">
        <f>MONTH(Clean_Sales[[#This Row],[Order_Date]])</f>
        <v>2</v>
      </c>
      <c r="C313" s="6">
        <v>46063</v>
      </c>
      <c r="D313" s="1" t="s">
        <v>446</v>
      </c>
      <c r="E313" s="1" t="s">
        <v>59</v>
      </c>
      <c r="F313" s="1" t="s">
        <v>89</v>
      </c>
      <c r="G313" s="1" t="s">
        <v>90</v>
      </c>
      <c r="H313" s="1" t="s">
        <v>74</v>
      </c>
      <c r="I313">
        <v>8</v>
      </c>
      <c r="J313">
        <v>85</v>
      </c>
      <c r="K313">
        <v>48</v>
      </c>
      <c r="L313">
        <v>0.15</v>
      </c>
      <c r="M313" s="1" t="s">
        <v>46</v>
      </c>
      <c r="N313" s="1" t="s">
        <v>36</v>
      </c>
      <c r="O313">
        <v>48</v>
      </c>
      <c r="P313">
        <v>578</v>
      </c>
      <c r="Q313">
        <v>384</v>
      </c>
      <c r="R313">
        <v>194</v>
      </c>
      <c r="S313">
        <v>0.33564013840830398</v>
      </c>
    </row>
    <row r="314" spans="1:19" x14ac:dyDescent="0.3">
      <c r="A314" s="1" t="s">
        <v>673</v>
      </c>
      <c r="B314" s="7">
        <f>MONTH(Clean_Sales[[#This Row],[Order_Date]])</f>
        <v>1</v>
      </c>
      <c r="C314" s="6">
        <v>46030</v>
      </c>
      <c r="D314" s="1" t="s">
        <v>117</v>
      </c>
      <c r="E314" s="1" t="s">
        <v>59</v>
      </c>
      <c r="F314" s="1" t="s">
        <v>72</v>
      </c>
      <c r="G314" s="1" t="s">
        <v>73</v>
      </c>
      <c r="H314" s="1" t="s">
        <v>74</v>
      </c>
      <c r="I314">
        <v>8</v>
      </c>
      <c r="J314">
        <v>65</v>
      </c>
      <c r="K314">
        <v>35</v>
      </c>
      <c r="L314">
        <v>0.05</v>
      </c>
      <c r="M314" s="1" t="s">
        <v>46</v>
      </c>
      <c r="N314" s="1" t="s">
        <v>36</v>
      </c>
      <c r="O314">
        <v>35</v>
      </c>
      <c r="P314">
        <v>494</v>
      </c>
      <c r="Q314">
        <v>280</v>
      </c>
      <c r="R314">
        <v>214</v>
      </c>
      <c r="S314">
        <v>0.43319838056680199</v>
      </c>
    </row>
    <row r="315" spans="1:19" x14ac:dyDescent="0.3">
      <c r="A315" s="1" t="s">
        <v>674</v>
      </c>
      <c r="B315" s="7">
        <f>MONTH(Clean_Sales[[#This Row],[Order_Date]])</f>
        <v>4</v>
      </c>
      <c r="C315" s="6">
        <v>46118</v>
      </c>
      <c r="D315" s="1" t="s">
        <v>15</v>
      </c>
      <c r="E315" s="1" t="s">
        <v>28</v>
      </c>
      <c r="F315" s="1" t="s">
        <v>106</v>
      </c>
      <c r="G315" s="1" t="s">
        <v>107</v>
      </c>
      <c r="H315" s="1" t="s">
        <v>31</v>
      </c>
      <c r="I315">
        <v>4</v>
      </c>
      <c r="J315">
        <v>190</v>
      </c>
      <c r="K315">
        <v>115</v>
      </c>
      <c r="L315">
        <v>0</v>
      </c>
      <c r="M315" s="1" t="s">
        <v>46</v>
      </c>
      <c r="N315" s="1" t="s">
        <v>36</v>
      </c>
      <c r="O315">
        <v>115</v>
      </c>
      <c r="P315">
        <v>760</v>
      </c>
      <c r="Q315">
        <v>460</v>
      </c>
      <c r="R315">
        <v>300</v>
      </c>
      <c r="S315">
        <v>0.394736842105263</v>
      </c>
    </row>
    <row r="316" spans="1:19" x14ac:dyDescent="0.3">
      <c r="A316" s="1" t="s">
        <v>675</v>
      </c>
      <c r="B316" s="7">
        <f>MONTH(Clean_Sales[[#This Row],[Order_Date]])</f>
        <v>1</v>
      </c>
      <c r="C316" s="6">
        <v>46030</v>
      </c>
      <c r="D316" s="1" t="s">
        <v>677</v>
      </c>
      <c r="E316" s="1" t="s">
        <v>124</v>
      </c>
      <c r="F316" s="1" t="s">
        <v>64</v>
      </c>
      <c r="G316" s="1" t="s">
        <v>65</v>
      </c>
      <c r="H316" s="1" t="s">
        <v>42</v>
      </c>
      <c r="I316">
        <v>5</v>
      </c>
      <c r="J316">
        <v>360</v>
      </c>
      <c r="K316">
        <v>250</v>
      </c>
      <c r="L316">
        <v>0.05</v>
      </c>
      <c r="M316" s="1" t="s">
        <v>23</v>
      </c>
      <c r="N316" s="1" t="s">
        <v>36</v>
      </c>
      <c r="O316">
        <v>250</v>
      </c>
      <c r="P316">
        <v>1710</v>
      </c>
      <c r="Q316">
        <v>1250</v>
      </c>
      <c r="R316">
        <v>460</v>
      </c>
      <c r="S316">
        <v>0.26900584795321603</v>
      </c>
    </row>
    <row r="317" spans="1:19" x14ac:dyDescent="0.3">
      <c r="A317" s="1" t="s">
        <v>678</v>
      </c>
      <c r="B317" s="7">
        <f>MONTH(Clean_Sales[[#This Row],[Order_Date]])</f>
        <v>6</v>
      </c>
      <c r="C317" s="6">
        <v>46183</v>
      </c>
      <c r="D317" s="1" t="s">
        <v>243</v>
      </c>
      <c r="E317" s="1" t="s">
        <v>124</v>
      </c>
      <c r="F317" s="1" t="s">
        <v>89</v>
      </c>
      <c r="G317" s="1" t="s">
        <v>90</v>
      </c>
      <c r="H317" s="1" t="s">
        <v>74</v>
      </c>
      <c r="I317">
        <v>1</v>
      </c>
      <c r="J317">
        <v>85</v>
      </c>
      <c r="K317">
        <v>48</v>
      </c>
      <c r="L317">
        <v>0</v>
      </c>
      <c r="M317" s="1" t="s">
        <v>23</v>
      </c>
      <c r="N317" s="1" t="s">
        <v>36</v>
      </c>
      <c r="O317">
        <v>48</v>
      </c>
      <c r="P317">
        <v>85</v>
      </c>
      <c r="Q317">
        <v>48</v>
      </c>
      <c r="R317">
        <v>37</v>
      </c>
      <c r="S317">
        <v>0.435294117647059</v>
      </c>
    </row>
    <row r="318" spans="1:19" x14ac:dyDescent="0.3">
      <c r="A318" s="1" t="s">
        <v>679</v>
      </c>
      <c r="B318" s="7">
        <f>MONTH(Clean_Sales[[#This Row],[Order_Date]])</f>
        <v>5</v>
      </c>
      <c r="C318" s="6">
        <v>46168</v>
      </c>
      <c r="D318" s="1" t="s">
        <v>446</v>
      </c>
      <c r="E318" s="1" t="s">
        <v>50</v>
      </c>
      <c r="F318" s="1" t="s">
        <v>64</v>
      </c>
      <c r="G318" s="1" t="s">
        <v>65</v>
      </c>
      <c r="H318" s="1" t="s">
        <v>42</v>
      </c>
      <c r="I318">
        <v>7</v>
      </c>
      <c r="J318">
        <v>360</v>
      </c>
      <c r="K318">
        <v>250</v>
      </c>
      <c r="L318">
        <v>0</v>
      </c>
      <c r="M318" s="1" t="s">
        <v>46</v>
      </c>
      <c r="N318" s="1" t="s">
        <v>36</v>
      </c>
      <c r="O318">
        <v>250</v>
      </c>
      <c r="P318">
        <v>2520</v>
      </c>
      <c r="Q318">
        <v>1750</v>
      </c>
      <c r="R318">
        <v>770</v>
      </c>
      <c r="S318">
        <v>0.30555555555555602</v>
      </c>
    </row>
    <row r="319" spans="1:19" x14ac:dyDescent="0.3">
      <c r="A319" s="1" t="s">
        <v>680</v>
      </c>
      <c r="B319" s="7">
        <f>MONTH(Clean_Sales[[#This Row],[Order_Date]])</f>
        <v>4</v>
      </c>
      <c r="C319" s="6">
        <v>46129</v>
      </c>
      <c r="D319" s="1" t="s">
        <v>243</v>
      </c>
      <c r="E319" s="1" t="s">
        <v>124</v>
      </c>
      <c r="F319" s="1" t="s">
        <v>89</v>
      </c>
      <c r="G319" s="1" t="s">
        <v>90</v>
      </c>
      <c r="H319" s="1" t="s">
        <v>74</v>
      </c>
      <c r="I319">
        <v>8</v>
      </c>
      <c r="J319">
        <v>85</v>
      </c>
      <c r="K319">
        <v>48</v>
      </c>
      <c r="L319">
        <v>0</v>
      </c>
      <c r="M319" s="1" t="s">
        <v>46</v>
      </c>
      <c r="N319" s="1" t="s">
        <v>36</v>
      </c>
      <c r="O319">
        <v>48</v>
      </c>
      <c r="P319">
        <v>680</v>
      </c>
      <c r="Q319">
        <v>384</v>
      </c>
      <c r="R319">
        <v>296</v>
      </c>
      <c r="S319">
        <v>0.435294117647059</v>
      </c>
    </row>
    <row r="320" spans="1:19" x14ac:dyDescent="0.3">
      <c r="A320" s="1" t="s">
        <v>682</v>
      </c>
      <c r="B320" s="7">
        <f>MONTH(Clean_Sales[[#This Row],[Order_Date]])</f>
        <v>5</v>
      </c>
      <c r="C320" s="6">
        <v>46160</v>
      </c>
      <c r="D320" s="1" t="s">
        <v>132</v>
      </c>
      <c r="E320" s="1" t="s">
        <v>124</v>
      </c>
      <c r="F320" s="1" t="s">
        <v>64</v>
      </c>
      <c r="G320" s="1" t="s">
        <v>65</v>
      </c>
      <c r="H320" s="1" t="s">
        <v>42</v>
      </c>
      <c r="I320">
        <v>6</v>
      </c>
      <c r="J320">
        <v>360</v>
      </c>
      <c r="K320">
        <v>250</v>
      </c>
      <c r="L320">
        <v>0.05</v>
      </c>
      <c r="M320" s="1" t="s">
        <v>23</v>
      </c>
      <c r="N320" s="1" t="s">
        <v>36</v>
      </c>
      <c r="O320">
        <v>250</v>
      </c>
      <c r="P320">
        <v>2052</v>
      </c>
      <c r="Q320">
        <v>1500</v>
      </c>
      <c r="R320">
        <v>552</v>
      </c>
      <c r="S320">
        <v>0.26900584795321603</v>
      </c>
    </row>
    <row r="321" spans="1:19" x14ac:dyDescent="0.3">
      <c r="A321" s="1" t="s">
        <v>683</v>
      </c>
      <c r="B321" s="7">
        <f>MONTH(Clean_Sales[[#This Row],[Order_Date]])</f>
        <v>2</v>
      </c>
      <c r="C321" s="6">
        <v>46068</v>
      </c>
      <c r="D321" s="1" t="s">
        <v>279</v>
      </c>
      <c r="E321" s="1" t="s">
        <v>59</v>
      </c>
      <c r="F321" s="1" t="s">
        <v>51</v>
      </c>
      <c r="G321" s="1" t="s">
        <v>52</v>
      </c>
      <c r="H321" s="1" t="s">
        <v>42</v>
      </c>
      <c r="I321">
        <v>6</v>
      </c>
      <c r="J321">
        <v>310</v>
      </c>
      <c r="K321">
        <v>220</v>
      </c>
      <c r="L321">
        <v>0.1</v>
      </c>
      <c r="M321" s="1" t="s">
        <v>46</v>
      </c>
      <c r="N321" s="1" t="s">
        <v>36</v>
      </c>
      <c r="O321">
        <v>220</v>
      </c>
      <c r="P321">
        <v>1674</v>
      </c>
      <c r="Q321">
        <v>1320</v>
      </c>
      <c r="R321">
        <v>354</v>
      </c>
      <c r="S321">
        <v>0.21146953405017899</v>
      </c>
    </row>
    <row r="322" spans="1:19" x14ac:dyDescent="0.3">
      <c r="A322" s="1" t="s">
        <v>685</v>
      </c>
      <c r="B322" s="7">
        <f>MONTH(Clean_Sales[[#This Row],[Order_Date]])</f>
        <v>2</v>
      </c>
      <c r="C322" s="6">
        <v>46062</v>
      </c>
      <c r="D322" s="1" t="s">
        <v>536</v>
      </c>
      <c r="E322" s="1" t="s">
        <v>28</v>
      </c>
      <c r="F322" s="1" t="s">
        <v>64</v>
      </c>
      <c r="G322" s="1" t="s">
        <v>65</v>
      </c>
      <c r="H322" s="1" t="s">
        <v>42</v>
      </c>
      <c r="I322">
        <v>5</v>
      </c>
      <c r="J322">
        <v>360</v>
      </c>
      <c r="K322">
        <v>250</v>
      </c>
      <c r="L322">
        <v>0.1</v>
      </c>
      <c r="M322" s="1" t="s">
        <v>23</v>
      </c>
      <c r="N322" s="1" t="s">
        <v>36</v>
      </c>
      <c r="O322">
        <v>250</v>
      </c>
      <c r="P322">
        <v>1620</v>
      </c>
      <c r="Q322">
        <v>1250</v>
      </c>
      <c r="R322">
        <v>370</v>
      </c>
      <c r="S322">
        <v>0.22839506172839499</v>
      </c>
    </row>
    <row r="323" spans="1:19" x14ac:dyDescent="0.3">
      <c r="A323" s="1" t="s">
        <v>686</v>
      </c>
      <c r="B323" s="7">
        <f>MONTH(Clean_Sales[[#This Row],[Order_Date]])</f>
        <v>6</v>
      </c>
      <c r="C323" s="6">
        <v>46181</v>
      </c>
      <c r="D323" s="1" t="s">
        <v>610</v>
      </c>
      <c r="E323" s="1" t="s">
        <v>50</v>
      </c>
      <c r="F323" s="1" t="s">
        <v>29</v>
      </c>
      <c r="G323" s="1" t="s">
        <v>30</v>
      </c>
      <c r="H323" s="1" t="s">
        <v>31</v>
      </c>
      <c r="I323">
        <v>7</v>
      </c>
      <c r="J323">
        <v>280</v>
      </c>
      <c r="K323">
        <v>190</v>
      </c>
      <c r="L323">
        <v>0.15</v>
      </c>
      <c r="M323" s="1" t="s">
        <v>23</v>
      </c>
      <c r="N323" s="1" t="s">
        <v>36</v>
      </c>
      <c r="O323">
        <v>190</v>
      </c>
      <c r="P323">
        <v>1666</v>
      </c>
      <c r="Q323">
        <v>1330</v>
      </c>
      <c r="R323">
        <v>336</v>
      </c>
      <c r="S323">
        <v>0.20168067226890801</v>
      </c>
    </row>
    <row r="324" spans="1:19" x14ac:dyDescent="0.3">
      <c r="A324" s="1" t="s">
        <v>687</v>
      </c>
      <c r="B324" s="7">
        <f>MONTH(Clean_Sales[[#This Row],[Order_Date]])</f>
        <v>3</v>
      </c>
      <c r="C324" s="6">
        <v>46096</v>
      </c>
      <c r="D324" s="1" t="s">
        <v>671</v>
      </c>
      <c r="E324" s="1" t="s">
        <v>28</v>
      </c>
      <c r="F324" s="1" t="s">
        <v>89</v>
      </c>
      <c r="G324" s="1" t="s">
        <v>90</v>
      </c>
      <c r="H324" s="1" t="s">
        <v>74</v>
      </c>
      <c r="I324">
        <v>7</v>
      </c>
      <c r="J324">
        <v>85</v>
      </c>
      <c r="K324">
        <v>48</v>
      </c>
      <c r="L324">
        <v>0.1</v>
      </c>
      <c r="M324" s="1" t="s">
        <v>46</v>
      </c>
      <c r="N324" s="1" t="s">
        <v>36</v>
      </c>
      <c r="O324">
        <v>48</v>
      </c>
      <c r="P324">
        <v>535.5</v>
      </c>
      <c r="Q324">
        <v>336</v>
      </c>
      <c r="R324">
        <v>199.5</v>
      </c>
      <c r="S324">
        <v>0.37254901960784298</v>
      </c>
    </row>
    <row r="325" spans="1:19" x14ac:dyDescent="0.3">
      <c r="A325" s="1" t="s">
        <v>689</v>
      </c>
      <c r="B325" s="7">
        <f>MONTH(Clean_Sales[[#This Row],[Order_Date]])</f>
        <v>6</v>
      </c>
      <c r="C325" s="6">
        <v>46190</v>
      </c>
      <c r="D325" s="1" t="s">
        <v>325</v>
      </c>
      <c r="E325" s="1" t="s">
        <v>50</v>
      </c>
      <c r="F325" s="1" t="s">
        <v>17</v>
      </c>
      <c r="G325" s="1" t="s">
        <v>18</v>
      </c>
      <c r="H325" s="1" t="s">
        <v>74</v>
      </c>
      <c r="I325">
        <v>3</v>
      </c>
      <c r="J325">
        <v>25</v>
      </c>
      <c r="K325">
        <v>12</v>
      </c>
      <c r="L325">
        <v>0.1</v>
      </c>
      <c r="M325" s="1" t="s">
        <v>46</v>
      </c>
      <c r="N325" s="1" t="s">
        <v>36</v>
      </c>
      <c r="O325">
        <v>12</v>
      </c>
      <c r="P325">
        <v>67.5</v>
      </c>
      <c r="Q325">
        <v>36</v>
      </c>
      <c r="R325">
        <v>31.5</v>
      </c>
      <c r="S325">
        <v>0.46666666666666701</v>
      </c>
    </row>
    <row r="326" spans="1:19" x14ac:dyDescent="0.3">
      <c r="A326" s="1" t="s">
        <v>690</v>
      </c>
      <c r="B326" s="7">
        <f>MONTH(Clean_Sales[[#This Row],[Order_Date]])</f>
        <v>4</v>
      </c>
      <c r="C326" s="6">
        <v>46119</v>
      </c>
      <c r="D326" s="1" t="s">
        <v>191</v>
      </c>
      <c r="E326" s="1" t="s">
        <v>50</v>
      </c>
      <c r="F326" s="1" t="s">
        <v>106</v>
      </c>
      <c r="G326" s="1" t="s">
        <v>107</v>
      </c>
      <c r="H326" s="1" t="s">
        <v>31</v>
      </c>
      <c r="I326">
        <v>3</v>
      </c>
      <c r="J326">
        <v>190</v>
      </c>
      <c r="K326">
        <v>115</v>
      </c>
      <c r="L326">
        <v>0.1</v>
      </c>
      <c r="M326" s="1" t="s">
        <v>23</v>
      </c>
      <c r="N326" s="1" t="s">
        <v>36</v>
      </c>
      <c r="O326">
        <v>115</v>
      </c>
      <c r="P326">
        <v>513</v>
      </c>
      <c r="Q326">
        <v>345</v>
      </c>
      <c r="R326">
        <v>168</v>
      </c>
      <c r="S326">
        <v>0.32748538011695899</v>
      </c>
    </row>
    <row r="327" spans="1:19" x14ac:dyDescent="0.3">
      <c r="A327" s="1" t="s">
        <v>691</v>
      </c>
      <c r="B327" s="7">
        <f>MONTH(Clean_Sales[[#This Row],[Order_Date]])</f>
        <v>3</v>
      </c>
      <c r="C327" s="6">
        <v>46092</v>
      </c>
      <c r="D327" s="1" t="s">
        <v>318</v>
      </c>
      <c r="E327" s="1" t="s">
        <v>28</v>
      </c>
      <c r="F327" s="1" t="s">
        <v>17</v>
      </c>
      <c r="G327" s="1" t="s">
        <v>18</v>
      </c>
      <c r="H327" s="1" t="s">
        <v>74</v>
      </c>
      <c r="I327">
        <v>1</v>
      </c>
      <c r="J327">
        <v>25</v>
      </c>
      <c r="K327">
        <v>12</v>
      </c>
      <c r="L327">
        <v>0.05</v>
      </c>
      <c r="M327" s="1" t="s">
        <v>23</v>
      </c>
      <c r="N327" s="1" t="s">
        <v>36</v>
      </c>
      <c r="O327">
        <v>12</v>
      </c>
      <c r="P327">
        <v>23.75</v>
      </c>
      <c r="Q327">
        <v>12</v>
      </c>
      <c r="R327">
        <v>11.75</v>
      </c>
      <c r="S327">
        <v>0.49473684210526298</v>
      </c>
    </row>
    <row r="328" spans="1:19" x14ac:dyDescent="0.3">
      <c r="A328" s="1" t="s">
        <v>694</v>
      </c>
      <c r="B328" s="7">
        <f>MONTH(Clean_Sales[[#This Row],[Order_Date]])</f>
        <v>5</v>
      </c>
      <c r="C328" s="6">
        <v>46167</v>
      </c>
      <c r="D328" s="1" t="s">
        <v>271</v>
      </c>
      <c r="E328" s="1" t="s">
        <v>50</v>
      </c>
      <c r="F328" s="1" t="s">
        <v>17</v>
      </c>
      <c r="G328" s="1" t="s">
        <v>18</v>
      </c>
      <c r="H328" s="1" t="s">
        <v>74</v>
      </c>
      <c r="I328">
        <v>2</v>
      </c>
      <c r="J328">
        <v>25</v>
      </c>
      <c r="K328">
        <v>12</v>
      </c>
      <c r="L328">
        <v>0.15</v>
      </c>
      <c r="M328" s="1" t="s">
        <v>23</v>
      </c>
      <c r="N328" s="1" t="s">
        <v>36</v>
      </c>
      <c r="O328">
        <v>12</v>
      </c>
      <c r="P328">
        <v>42.5</v>
      </c>
      <c r="Q328">
        <v>24</v>
      </c>
      <c r="R328">
        <v>18.5</v>
      </c>
      <c r="S328">
        <v>0.435294117647059</v>
      </c>
    </row>
    <row r="329" spans="1:19" x14ac:dyDescent="0.3">
      <c r="A329" s="1" t="s">
        <v>695</v>
      </c>
      <c r="B329" s="7">
        <f>MONTH(Clean_Sales[[#This Row],[Order_Date]])</f>
        <v>5</v>
      </c>
      <c r="C329" s="6">
        <v>46159</v>
      </c>
      <c r="D329" s="1" t="s">
        <v>318</v>
      </c>
      <c r="E329" s="1" t="s">
        <v>28</v>
      </c>
      <c r="F329" s="1" t="s">
        <v>89</v>
      </c>
      <c r="G329" s="1" t="s">
        <v>90</v>
      </c>
      <c r="H329" s="1" t="s">
        <v>74</v>
      </c>
      <c r="I329">
        <v>7</v>
      </c>
      <c r="J329">
        <v>85</v>
      </c>
      <c r="K329">
        <v>48</v>
      </c>
      <c r="L329">
        <v>0</v>
      </c>
      <c r="M329" s="1" t="s">
        <v>46</v>
      </c>
      <c r="N329" s="1" t="s">
        <v>36</v>
      </c>
      <c r="O329">
        <v>48</v>
      </c>
      <c r="P329">
        <v>595</v>
      </c>
      <c r="Q329">
        <v>336</v>
      </c>
      <c r="R329">
        <v>259</v>
      </c>
      <c r="S329">
        <v>0.435294117647059</v>
      </c>
    </row>
    <row r="330" spans="1:19" x14ac:dyDescent="0.3">
      <c r="A330" s="1" t="s">
        <v>697</v>
      </c>
      <c r="B330" s="7">
        <f>MONTH(Clean_Sales[[#This Row],[Order_Date]])</f>
        <v>5</v>
      </c>
      <c r="C330" s="6">
        <v>46160</v>
      </c>
      <c r="D330" s="1" t="s">
        <v>528</v>
      </c>
      <c r="E330" s="1" t="s">
        <v>50</v>
      </c>
      <c r="F330" s="1" t="s">
        <v>17</v>
      </c>
      <c r="G330" s="1" t="s">
        <v>18</v>
      </c>
      <c r="H330" s="1" t="s">
        <v>74</v>
      </c>
      <c r="I330">
        <v>6</v>
      </c>
      <c r="J330">
        <v>25</v>
      </c>
      <c r="K330">
        <v>12</v>
      </c>
      <c r="L330">
        <v>0</v>
      </c>
      <c r="M330" s="1" t="s">
        <v>46</v>
      </c>
      <c r="N330" s="1" t="s">
        <v>36</v>
      </c>
      <c r="O330">
        <v>12</v>
      </c>
      <c r="P330">
        <v>150</v>
      </c>
      <c r="Q330">
        <v>72</v>
      </c>
      <c r="R330">
        <v>78</v>
      </c>
      <c r="S330">
        <v>0.52</v>
      </c>
    </row>
    <row r="331" spans="1:19" x14ac:dyDescent="0.3">
      <c r="A331" s="1" t="s">
        <v>699</v>
      </c>
      <c r="B331" s="7">
        <f>MONTH(Clean_Sales[[#This Row],[Order_Date]])</f>
        <v>4</v>
      </c>
      <c r="C331" s="6">
        <v>46141</v>
      </c>
      <c r="D331" s="1" t="s">
        <v>377</v>
      </c>
      <c r="E331" s="1" t="s">
        <v>50</v>
      </c>
      <c r="F331" s="1" t="s">
        <v>17</v>
      </c>
      <c r="G331" s="1" t="s">
        <v>18</v>
      </c>
      <c r="H331" s="1" t="s">
        <v>74</v>
      </c>
      <c r="I331">
        <v>4</v>
      </c>
      <c r="J331">
        <v>25</v>
      </c>
      <c r="K331">
        <v>12</v>
      </c>
      <c r="L331">
        <v>0.1</v>
      </c>
      <c r="M331" s="1" t="s">
        <v>46</v>
      </c>
      <c r="N331" s="1" t="s">
        <v>36</v>
      </c>
      <c r="O331">
        <v>12</v>
      </c>
      <c r="P331">
        <v>90</v>
      </c>
      <c r="Q331">
        <v>48</v>
      </c>
      <c r="R331">
        <v>42</v>
      </c>
      <c r="S331">
        <v>0.46666666666666701</v>
      </c>
    </row>
    <row r="332" spans="1:19" x14ac:dyDescent="0.3">
      <c r="A332" s="1" t="s">
        <v>700</v>
      </c>
      <c r="B332" s="7">
        <f>MONTH(Clean_Sales[[#This Row],[Order_Date]])</f>
        <v>3</v>
      </c>
      <c r="C332" s="6">
        <v>46089</v>
      </c>
      <c r="D332" s="1" t="s">
        <v>175</v>
      </c>
      <c r="E332" s="1" t="s">
        <v>124</v>
      </c>
      <c r="F332" s="1" t="s">
        <v>106</v>
      </c>
      <c r="G332" s="1" t="s">
        <v>107</v>
      </c>
      <c r="H332" s="1" t="s">
        <v>31</v>
      </c>
      <c r="I332">
        <v>2</v>
      </c>
      <c r="J332">
        <v>190</v>
      </c>
      <c r="K332">
        <v>115</v>
      </c>
      <c r="L332">
        <v>0.05</v>
      </c>
      <c r="M332" s="1" t="s">
        <v>23</v>
      </c>
      <c r="N332" s="1" t="s">
        <v>36</v>
      </c>
      <c r="O332">
        <v>115</v>
      </c>
      <c r="P332">
        <v>361</v>
      </c>
      <c r="Q332">
        <v>230</v>
      </c>
      <c r="R332">
        <v>131</v>
      </c>
      <c r="S332">
        <v>0.362880886426593</v>
      </c>
    </row>
    <row r="333" spans="1:19" x14ac:dyDescent="0.3">
      <c r="A333" s="1" t="s">
        <v>701</v>
      </c>
      <c r="B333" s="7">
        <f>MONTH(Clean_Sales[[#This Row],[Order_Date]])</f>
        <v>4</v>
      </c>
      <c r="C333" s="6">
        <v>46116</v>
      </c>
      <c r="D333" s="1" t="s">
        <v>495</v>
      </c>
      <c r="E333" s="1" t="s">
        <v>124</v>
      </c>
      <c r="F333" s="1" t="s">
        <v>106</v>
      </c>
      <c r="G333" s="1" t="s">
        <v>107</v>
      </c>
      <c r="H333" s="1" t="s">
        <v>31</v>
      </c>
      <c r="I333">
        <v>1</v>
      </c>
      <c r="J333">
        <v>190</v>
      </c>
      <c r="K333">
        <v>115</v>
      </c>
      <c r="L333">
        <v>0.15</v>
      </c>
      <c r="M333" s="1" t="s">
        <v>46</v>
      </c>
      <c r="N333" s="1" t="s">
        <v>36</v>
      </c>
      <c r="O333">
        <v>115</v>
      </c>
      <c r="P333">
        <v>161.5</v>
      </c>
      <c r="Q333">
        <v>115</v>
      </c>
      <c r="R333">
        <v>46.5</v>
      </c>
      <c r="S333">
        <v>0.28792569659442702</v>
      </c>
    </row>
    <row r="334" spans="1:19" x14ac:dyDescent="0.3">
      <c r="A334" s="1" t="s">
        <v>702</v>
      </c>
      <c r="B334" s="7">
        <f>MONTH(Clean_Sales[[#This Row],[Order_Date]])</f>
        <v>6</v>
      </c>
      <c r="C334" s="6">
        <v>46196</v>
      </c>
      <c r="D334" s="1" t="s">
        <v>495</v>
      </c>
      <c r="E334" s="1" t="s">
        <v>124</v>
      </c>
      <c r="F334" s="1" t="s">
        <v>40</v>
      </c>
      <c r="G334" s="1" t="s">
        <v>41</v>
      </c>
      <c r="H334" s="1" t="s">
        <v>42</v>
      </c>
      <c r="I334">
        <v>3</v>
      </c>
      <c r="J334">
        <v>1250</v>
      </c>
      <c r="K334">
        <v>940</v>
      </c>
      <c r="L334">
        <v>0.1</v>
      </c>
      <c r="M334" s="1" t="s">
        <v>23</v>
      </c>
      <c r="N334" s="1" t="s">
        <v>36</v>
      </c>
      <c r="O334">
        <v>940</v>
      </c>
      <c r="P334">
        <v>3375</v>
      </c>
      <c r="Q334">
        <v>2820</v>
      </c>
      <c r="R334">
        <v>555</v>
      </c>
      <c r="S334">
        <v>0.164444444444444</v>
      </c>
    </row>
    <row r="335" spans="1:19" x14ac:dyDescent="0.3">
      <c r="A335" s="1" t="s">
        <v>703</v>
      </c>
      <c r="B335" s="7">
        <f>MONTH(Clean_Sales[[#This Row],[Order_Date]])</f>
        <v>5</v>
      </c>
      <c r="C335" s="6">
        <v>46163</v>
      </c>
      <c r="D335" s="1" t="s">
        <v>513</v>
      </c>
      <c r="E335" s="1" t="s">
        <v>982</v>
      </c>
      <c r="F335" s="1" t="s">
        <v>40</v>
      </c>
      <c r="G335" s="1" t="s">
        <v>41</v>
      </c>
      <c r="H335" s="1" t="s">
        <v>42</v>
      </c>
      <c r="I335">
        <v>8</v>
      </c>
      <c r="J335">
        <v>1250</v>
      </c>
      <c r="K335">
        <v>940</v>
      </c>
      <c r="L335">
        <v>0.05</v>
      </c>
      <c r="M335" s="1" t="s">
        <v>23</v>
      </c>
      <c r="N335" s="1" t="s">
        <v>36</v>
      </c>
      <c r="O335">
        <v>940</v>
      </c>
      <c r="P335">
        <v>9500</v>
      </c>
      <c r="Q335">
        <v>7520</v>
      </c>
      <c r="R335">
        <v>1980</v>
      </c>
      <c r="S335">
        <v>0.20842105263157901</v>
      </c>
    </row>
    <row r="336" spans="1:19" x14ac:dyDescent="0.3">
      <c r="A336" s="1" t="s">
        <v>704</v>
      </c>
      <c r="B336" s="7">
        <f>MONTH(Clean_Sales[[#This Row],[Order_Date]])</f>
        <v>1</v>
      </c>
      <c r="C336" s="6">
        <v>46052</v>
      </c>
      <c r="D336" s="1" t="s">
        <v>140</v>
      </c>
      <c r="E336" s="1" t="s">
        <v>28</v>
      </c>
      <c r="F336" s="1" t="s">
        <v>64</v>
      </c>
      <c r="G336" s="1" t="s">
        <v>65</v>
      </c>
      <c r="H336" s="1" t="s">
        <v>42</v>
      </c>
      <c r="I336">
        <v>4</v>
      </c>
      <c r="J336">
        <v>360</v>
      </c>
      <c r="L336">
        <v>0.05</v>
      </c>
      <c r="M336" s="1" t="s">
        <v>46</v>
      </c>
      <c r="N336" s="1" t="s">
        <v>36</v>
      </c>
      <c r="O336">
        <v>250</v>
      </c>
      <c r="P336">
        <v>1368</v>
      </c>
      <c r="Q336">
        <v>1000</v>
      </c>
      <c r="R336">
        <v>368</v>
      </c>
      <c r="S336">
        <v>0.26900584795321603</v>
      </c>
    </row>
    <row r="337" spans="1:19" x14ac:dyDescent="0.3">
      <c r="A337" s="1" t="s">
        <v>706</v>
      </c>
      <c r="B337" s="7">
        <f>MONTH(Clean_Sales[[#This Row],[Order_Date]])</f>
        <v>3</v>
      </c>
      <c r="C337" s="6">
        <v>46083</v>
      </c>
      <c r="D337" s="1" t="s">
        <v>148</v>
      </c>
      <c r="E337" s="1" t="s">
        <v>124</v>
      </c>
      <c r="F337" s="1" t="s">
        <v>17</v>
      </c>
      <c r="G337" s="1" t="s">
        <v>18</v>
      </c>
      <c r="H337" s="1" t="s">
        <v>74</v>
      </c>
      <c r="I337">
        <v>8</v>
      </c>
      <c r="J337">
        <v>25</v>
      </c>
      <c r="K337">
        <v>12</v>
      </c>
      <c r="L337">
        <v>0.05</v>
      </c>
      <c r="M337" s="1" t="s">
        <v>23</v>
      </c>
      <c r="N337" s="1" t="s">
        <v>36</v>
      </c>
      <c r="O337">
        <v>12</v>
      </c>
      <c r="P337">
        <v>190</v>
      </c>
      <c r="Q337">
        <v>96</v>
      </c>
      <c r="R337">
        <v>94</v>
      </c>
      <c r="S337">
        <v>0.49473684210526298</v>
      </c>
    </row>
    <row r="338" spans="1:19" x14ac:dyDescent="0.3">
      <c r="A338" s="1" t="s">
        <v>707</v>
      </c>
      <c r="B338" s="7">
        <f>MONTH(Clean_Sales[[#This Row],[Order_Date]])</f>
        <v>3</v>
      </c>
      <c r="C338" s="6">
        <v>46099</v>
      </c>
      <c r="D338" s="1" t="s">
        <v>284</v>
      </c>
      <c r="E338" s="1" t="s">
        <v>50</v>
      </c>
      <c r="F338" s="1" t="s">
        <v>64</v>
      </c>
      <c r="G338" s="1" t="s">
        <v>65</v>
      </c>
      <c r="H338" s="1" t="s">
        <v>42</v>
      </c>
      <c r="I338">
        <v>1</v>
      </c>
      <c r="J338">
        <v>360</v>
      </c>
      <c r="K338">
        <v>250</v>
      </c>
      <c r="L338">
        <v>0</v>
      </c>
      <c r="M338" s="1" t="s">
        <v>46</v>
      </c>
      <c r="N338" s="1" t="s">
        <v>36</v>
      </c>
      <c r="O338">
        <v>250</v>
      </c>
      <c r="P338">
        <v>360</v>
      </c>
      <c r="Q338">
        <v>250</v>
      </c>
      <c r="R338">
        <v>110</v>
      </c>
      <c r="S338">
        <v>0.30555555555555602</v>
      </c>
    </row>
    <row r="339" spans="1:19" x14ac:dyDescent="0.3">
      <c r="A339" s="1" t="s">
        <v>708</v>
      </c>
      <c r="B339" s="7">
        <f>MONTH(Clean_Sales[[#This Row],[Order_Date]])</f>
        <v>5</v>
      </c>
      <c r="C339" s="6">
        <v>46171</v>
      </c>
      <c r="D339" s="1" t="s">
        <v>251</v>
      </c>
      <c r="E339" s="1" t="s">
        <v>59</v>
      </c>
      <c r="F339" s="1" t="s">
        <v>72</v>
      </c>
      <c r="G339" s="1" t="s">
        <v>73</v>
      </c>
      <c r="H339" s="1" t="s">
        <v>74</v>
      </c>
      <c r="I339">
        <v>7</v>
      </c>
      <c r="J339">
        <v>65</v>
      </c>
      <c r="K339">
        <v>35</v>
      </c>
      <c r="L339">
        <v>0.05</v>
      </c>
      <c r="M339" s="1" t="s">
        <v>46</v>
      </c>
      <c r="N339" s="1" t="s">
        <v>36</v>
      </c>
      <c r="O339">
        <v>35</v>
      </c>
      <c r="P339">
        <v>432.25</v>
      </c>
      <c r="Q339">
        <v>245</v>
      </c>
      <c r="R339">
        <v>187.25</v>
      </c>
      <c r="S339">
        <v>0.43319838056680199</v>
      </c>
    </row>
    <row r="340" spans="1:19" x14ac:dyDescent="0.3">
      <c r="A340" s="1" t="s">
        <v>709</v>
      </c>
      <c r="B340" s="7">
        <f>MONTH(Clean_Sales[[#This Row],[Order_Date]])</f>
        <v>1</v>
      </c>
      <c r="C340" s="6">
        <v>46030</v>
      </c>
      <c r="D340" s="1" t="s">
        <v>279</v>
      </c>
      <c r="E340" s="1" t="s">
        <v>50</v>
      </c>
      <c r="F340" s="1" t="s">
        <v>89</v>
      </c>
      <c r="G340" s="1" t="s">
        <v>90</v>
      </c>
      <c r="H340" s="1" t="s">
        <v>74</v>
      </c>
      <c r="I340">
        <v>5</v>
      </c>
      <c r="J340">
        <v>85</v>
      </c>
      <c r="K340">
        <v>48</v>
      </c>
      <c r="L340">
        <v>0.15</v>
      </c>
      <c r="M340" s="1" t="s">
        <v>23</v>
      </c>
      <c r="N340" s="1" t="s">
        <v>36</v>
      </c>
      <c r="O340">
        <v>48</v>
      </c>
      <c r="P340">
        <v>361.25</v>
      </c>
      <c r="Q340">
        <v>240</v>
      </c>
      <c r="R340">
        <v>121.25</v>
      </c>
      <c r="S340">
        <v>0.33564013840830398</v>
      </c>
    </row>
    <row r="341" spans="1:19" x14ac:dyDescent="0.3">
      <c r="A341" s="1" t="s">
        <v>710</v>
      </c>
      <c r="B341" s="7">
        <f>MONTH(Clean_Sales[[#This Row],[Order_Date]])</f>
        <v>1</v>
      </c>
      <c r="C341" s="6">
        <v>46036</v>
      </c>
      <c r="D341" s="1" t="s">
        <v>39</v>
      </c>
      <c r="E341" s="1" t="s">
        <v>50</v>
      </c>
      <c r="F341" s="1" t="s">
        <v>17</v>
      </c>
      <c r="G341" s="1" t="s">
        <v>18</v>
      </c>
      <c r="H341" s="1" t="s">
        <v>74</v>
      </c>
      <c r="I341">
        <v>6</v>
      </c>
      <c r="J341">
        <v>25</v>
      </c>
      <c r="K341">
        <v>12</v>
      </c>
      <c r="L341">
        <v>0.15</v>
      </c>
      <c r="M341" s="1" t="s">
        <v>23</v>
      </c>
      <c r="N341" s="1" t="s">
        <v>36</v>
      </c>
      <c r="O341">
        <v>12</v>
      </c>
      <c r="P341">
        <v>127.5</v>
      </c>
      <c r="Q341">
        <v>72</v>
      </c>
      <c r="R341">
        <v>55.5</v>
      </c>
      <c r="S341">
        <v>0.435294117647059</v>
      </c>
    </row>
    <row r="342" spans="1:19" x14ac:dyDescent="0.3">
      <c r="A342" s="1" t="s">
        <v>712</v>
      </c>
      <c r="B342" s="7">
        <f>MONTH(Clean_Sales[[#This Row],[Order_Date]])</f>
        <v>4</v>
      </c>
      <c r="C342" s="6">
        <v>46142</v>
      </c>
      <c r="D342" s="1" t="s">
        <v>579</v>
      </c>
      <c r="E342" s="1" t="s">
        <v>28</v>
      </c>
      <c r="F342" s="1" t="s">
        <v>29</v>
      </c>
      <c r="G342" s="1" t="s">
        <v>30</v>
      </c>
      <c r="H342" s="1" t="s">
        <v>31</v>
      </c>
      <c r="I342">
        <v>5</v>
      </c>
      <c r="J342">
        <v>280</v>
      </c>
      <c r="K342">
        <v>190</v>
      </c>
      <c r="L342">
        <v>0.05</v>
      </c>
      <c r="M342" s="1" t="s">
        <v>46</v>
      </c>
      <c r="N342" s="1" t="s">
        <v>36</v>
      </c>
      <c r="O342">
        <v>190</v>
      </c>
      <c r="P342">
        <v>1330</v>
      </c>
      <c r="Q342">
        <v>950</v>
      </c>
      <c r="R342">
        <v>380</v>
      </c>
      <c r="S342">
        <v>0.28571428571428598</v>
      </c>
    </row>
    <row r="343" spans="1:19" x14ac:dyDescent="0.3">
      <c r="A343" s="1" t="s">
        <v>713</v>
      </c>
      <c r="B343" s="7">
        <f>MONTH(Clean_Sales[[#This Row],[Order_Date]])</f>
        <v>5</v>
      </c>
      <c r="C343" s="6">
        <v>46143</v>
      </c>
      <c r="D343" s="1" t="s">
        <v>205</v>
      </c>
      <c r="E343" s="1" t="s">
        <v>50</v>
      </c>
      <c r="F343" s="1" t="s">
        <v>106</v>
      </c>
      <c r="G343" s="1" t="s">
        <v>107</v>
      </c>
      <c r="H343" s="1" t="s">
        <v>31</v>
      </c>
      <c r="I343">
        <v>7</v>
      </c>
      <c r="J343">
        <v>190</v>
      </c>
      <c r="K343">
        <v>115</v>
      </c>
      <c r="L343">
        <v>0</v>
      </c>
      <c r="M343" s="1" t="s">
        <v>46</v>
      </c>
      <c r="N343" s="1" t="s">
        <v>36</v>
      </c>
      <c r="O343">
        <v>115</v>
      </c>
      <c r="P343">
        <v>1330</v>
      </c>
      <c r="Q343">
        <v>805</v>
      </c>
      <c r="R343">
        <v>525</v>
      </c>
      <c r="S343">
        <v>0.394736842105263</v>
      </c>
    </row>
    <row r="344" spans="1:19" x14ac:dyDescent="0.3">
      <c r="A344" s="1" t="s">
        <v>715</v>
      </c>
      <c r="B344" s="7">
        <f>MONTH(Clean_Sales[[#This Row],[Order_Date]])</f>
        <v>3</v>
      </c>
      <c r="C344" s="6">
        <v>46105</v>
      </c>
      <c r="D344" s="1" t="s">
        <v>528</v>
      </c>
      <c r="E344" s="1" t="s">
        <v>59</v>
      </c>
      <c r="F344" s="1" t="s">
        <v>51</v>
      </c>
      <c r="G344" s="1" t="s">
        <v>52</v>
      </c>
      <c r="H344" s="1" t="s">
        <v>42</v>
      </c>
      <c r="I344">
        <v>7</v>
      </c>
      <c r="J344">
        <v>310</v>
      </c>
      <c r="K344">
        <v>220</v>
      </c>
      <c r="L344">
        <v>0.1</v>
      </c>
      <c r="M344" s="1" t="s">
        <v>46</v>
      </c>
      <c r="N344" s="1" t="s">
        <v>36</v>
      </c>
      <c r="O344">
        <v>220</v>
      </c>
      <c r="P344">
        <v>1953</v>
      </c>
      <c r="Q344">
        <v>1540</v>
      </c>
      <c r="R344">
        <v>413</v>
      </c>
      <c r="S344">
        <v>0.21146953405017899</v>
      </c>
    </row>
    <row r="345" spans="1:19" x14ac:dyDescent="0.3">
      <c r="A345" s="1" t="s">
        <v>716</v>
      </c>
      <c r="B345" s="7">
        <f>MONTH(Clean_Sales[[#This Row],[Order_Date]])</f>
        <v>3</v>
      </c>
      <c r="C345" s="6">
        <v>46092</v>
      </c>
      <c r="D345" s="1" t="s">
        <v>454</v>
      </c>
      <c r="E345" s="1" t="s">
        <v>124</v>
      </c>
      <c r="F345" s="1" t="s">
        <v>29</v>
      </c>
      <c r="G345" s="1" t="s">
        <v>30</v>
      </c>
      <c r="H345" s="1" t="s">
        <v>31</v>
      </c>
      <c r="I345">
        <v>1</v>
      </c>
      <c r="J345">
        <v>280</v>
      </c>
      <c r="K345">
        <v>190</v>
      </c>
      <c r="L345">
        <v>0.15</v>
      </c>
      <c r="M345" s="1" t="s">
        <v>46</v>
      </c>
      <c r="N345" s="1" t="s">
        <v>36</v>
      </c>
      <c r="O345">
        <v>190</v>
      </c>
      <c r="P345">
        <v>238</v>
      </c>
      <c r="Q345">
        <v>190</v>
      </c>
      <c r="R345">
        <v>48</v>
      </c>
      <c r="S345">
        <v>0.20168067226890801</v>
      </c>
    </row>
    <row r="346" spans="1:19" x14ac:dyDescent="0.3">
      <c r="A346" s="1" t="s">
        <v>717</v>
      </c>
      <c r="B346" s="7">
        <f>MONTH(Clean_Sales[[#This Row],[Order_Date]])</f>
        <v>3</v>
      </c>
      <c r="C346" s="6">
        <v>46083</v>
      </c>
      <c r="D346" s="1" t="s">
        <v>364</v>
      </c>
      <c r="E346" s="1" t="s">
        <v>28</v>
      </c>
      <c r="F346" s="1" t="s">
        <v>72</v>
      </c>
      <c r="G346" s="1" t="s">
        <v>73</v>
      </c>
      <c r="H346" s="1" t="s">
        <v>74</v>
      </c>
      <c r="I346">
        <v>3</v>
      </c>
      <c r="J346">
        <v>65</v>
      </c>
      <c r="K346">
        <v>35</v>
      </c>
      <c r="L346">
        <v>0</v>
      </c>
      <c r="M346" s="1" t="s">
        <v>46</v>
      </c>
      <c r="N346" s="1" t="s">
        <v>36</v>
      </c>
      <c r="O346">
        <v>35</v>
      </c>
      <c r="P346">
        <v>195</v>
      </c>
      <c r="Q346">
        <v>105</v>
      </c>
      <c r="R346">
        <v>90</v>
      </c>
      <c r="S346">
        <v>0.46153846153846201</v>
      </c>
    </row>
    <row r="347" spans="1:19" x14ac:dyDescent="0.3">
      <c r="A347" s="1" t="s">
        <v>718</v>
      </c>
      <c r="B347" s="7">
        <f>MONTH(Clean_Sales[[#This Row],[Order_Date]])</f>
        <v>2</v>
      </c>
      <c r="C347" s="6">
        <v>46074</v>
      </c>
      <c r="D347" s="1" t="s">
        <v>284</v>
      </c>
      <c r="E347" s="1" t="s">
        <v>124</v>
      </c>
      <c r="F347" s="1" t="s">
        <v>29</v>
      </c>
      <c r="G347" s="1" t="s">
        <v>30</v>
      </c>
      <c r="H347" s="1" t="s">
        <v>31</v>
      </c>
      <c r="I347">
        <v>6</v>
      </c>
      <c r="J347">
        <v>280</v>
      </c>
      <c r="K347">
        <v>190</v>
      </c>
      <c r="L347">
        <v>0.05</v>
      </c>
      <c r="M347" s="1" t="s">
        <v>23</v>
      </c>
      <c r="N347" s="1" t="s">
        <v>36</v>
      </c>
      <c r="O347">
        <v>190</v>
      </c>
      <c r="P347">
        <v>1596</v>
      </c>
      <c r="Q347">
        <v>1140</v>
      </c>
      <c r="R347">
        <v>456</v>
      </c>
      <c r="S347">
        <v>0.28571428571428598</v>
      </c>
    </row>
    <row r="348" spans="1:19" x14ac:dyDescent="0.3">
      <c r="A348" s="1" t="s">
        <v>719</v>
      </c>
      <c r="B348" s="7">
        <f>MONTH(Clean_Sales[[#This Row],[Order_Date]])</f>
        <v>1</v>
      </c>
      <c r="C348" s="6">
        <v>46023</v>
      </c>
      <c r="D348" s="1" t="s">
        <v>227</v>
      </c>
      <c r="E348" s="1" t="s">
        <v>59</v>
      </c>
      <c r="F348" s="1" t="s">
        <v>51</v>
      </c>
      <c r="G348" s="1" t="s">
        <v>52</v>
      </c>
      <c r="H348" s="1" t="s">
        <v>42</v>
      </c>
      <c r="I348">
        <v>4</v>
      </c>
      <c r="J348">
        <v>310</v>
      </c>
      <c r="K348">
        <v>220</v>
      </c>
      <c r="L348">
        <v>0.1</v>
      </c>
      <c r="M348" s="1" t="s">
        <v>23</v>
      </c>
      <c r="N348" s="1" t="s">
        <v>36</v>
      </c>
      <c r="O348">
        <v>220</v>
      </c>
      <c r="P348">
        <v>1116</v>
      </c>
      <c r="Q348">
        <v>880</v>
      </c>
      <c r="R348">
        <v>236</v>
      </c>
      <c r="S348">
        <v>0.21146953405017899</v>
      </c>
    </row>
    <row r="349" spans="1:19" x14ac:dyDescent="0.3">
      <c r="A349" s="1" t="s">
        <v>720</v>
      </c>
      <c r="B349" s="7">
        <f>MONTH(Clean_Sales[[#This Row],[Order_Date]])</f>
        <v>5</v>
      </c>
      <c r="C349" s="6">
        <v>46157</v>
      </c>
      <c r="D349" s="1" t="s">
        <v>295</v>
      </c>
      <c r="E349" s="1" t="s">
        <v>28</v>
      </c>
      <c r="F349" s="1" t="s">
        <v>40</v>
      </c>
      <c r="G349" s="1" t="s">
        <v>41</v>
      </c>
      <c r="H349" s="1" t="s">
        <v>42</v>
      </c>
      <c r="I349">
        <v>5</v>
      </c>
      <c r="J349">
        <v>1250</v>
      </c>
      <c r="K349">
        <v>940</v>
      </c>
      <c r="L349">
        <v>0.15</v>
      </c>
      <c r="M349" s="1" t="s">
        <v>23</v>
      </c>
      <c r="N349" s="1" t="s">
        <v>36</v>
      </c>
      <c r="O349">
        <v>940</v>
      </c>
      <c r="P349">
        <v>5312.5</v>
      </c>
      <c r="Q349">
        <v>4700</v>
      </c>
      <c r="R349">
        <v>612.5</v>
      </c>
      <c r="S349">
        <v>0.11529411764705901</v>
      </c>
    </row>
    <row r="350" spans="1:19" x14ac:dyDescent="0.3">
      <c r="A350" s="1" t="s">
        <v>722</v>
      </c>
      <c r="B350" s="7">
        <f>MONTH(Clean_Sales[[#This Row],[Order_Date]])</f>
        <v>1</v>
      </c>
      <c r="C350" s="6">
        <v>46029</v>
      </c>
      <c r="D350" s="1" t="s">
        <v>227</v>
      </c>
      <c r="E350" s="1" t="s">
        <v>28</v>
      </c>
      <c r="F350" s="1" t="s">
        <v>89</v>
      </c>
      <c r="G350" s="1" t="s">
        <v>90</v>
      </c>
      <c r="H350" s="1" t="s">
        <v>74</v>
      </c>
      <c r="I350">
        <v>3</v>
      </c>
      <c r="J350">
        <v>85</v>
      </c>
      <c r="K350">
        <v>48</v>
      </c>
      <c r="L350">
        <v>0.15</v>
      </c>
      <c r="M350" s="1" t="s">
        <v>46</v>
      </c>
      <c r="N350" s="1" t="s">
        <v>36</v>
      </c>
      <c r="O350">
        <v>48</v>
      </c>
      <c r="P350">
        <v>216.75</v>
      </c>
      <c r="Q350">
        <v>144</v>
      </c>
      <c r="R350">
        <v>72.75</v>
      </c>
      <c r="S350">
        <v>0.33564013840830398</v>
      </c>
    </row>
    <row r="351" spans="1:19" x14ac:dyDescent="0.3">
      <c r="A351" s="1" t="s">
        <v>724</v>
      </c>
      <c r="B351" s="7">
        <f>MONTH(Clean_Sales[[#This Row],[Order_Date]])</f>
        <v>4</v>
      </c>
      <c r="C351" s="6">
        <v>46119</v>
      </c>
      <c r="D351" s="1" t="s">
        <v>260</v>
      </c>
      <c r="E351" s="1" t="s">
        <v>50</v>
      </c>
      <c r="F351" s="1" t="s">
        <v>29</v>
      </c>
      <c r="G351" s="1" t="s">
        <v>30</v>
      </c>
      <c r="H351" s="1" t="s">
        <v>31</v>
      </c>
      <c r="I351">
        <v>3</v>
      </c>
      <c r="J351">
        <v>280</v>
      </c>
      <c r="K351">
        <v>190</v>
      </c>
      <c r="L351">
        <v>0.15</v>
      </c>
      <c r="M351" s="1" t="s">
        <v>46</v>
      </c>
      <c r="N351" s="1" t="s">
        <v>36</v>
      </c>
      <c r="O351">
        <v>190</v>
      </c>
      <c r="P351">
        <v>714</v>
      </c>
      <c r="Q351">
        <v>570</v>
      </c>
      <c r="R351">
        <v>144</v>
      </c>
      <c r="S351">
        <v>0.20168067226890801</v>
      </c>
    </row>
    <row r="352" spans="1:19" x14ac:dyDescent="0.3">
      <c r="A352" s="1" t="s">
        <v>725</v>
      </c>
      <c r="B352" s="7">
        <f>MONTH(Clean_Sales[[#This Row],[Order_Date]])</f>
        <v>6</v>
      </c>
      <c r="C352" s="6">
        <v>46189</v>
      </c>
      <c r="D352" s="1" t="s">
        <v>169</v>
      </c>
      <c r="E352" s="1" t="s">
        <v>50</v>
      </c>
      <c r="F352" s="1" t="s">
        <v>29</v>
      </c>
      <c r="G352" s="1" t="s">
        <v>30</v>
      </c>
      <c r="H352" s="1" t="s">
        <v>31</v>
      </c>
      <c r="I352">
        <v>7</v>
      </c>
      <c r="J352">
        <v>280</v>
      </c>
      <c r="K352">
        <v>190</v>
      </c>
      <c r="L352">
        <v>0.1</v>
      </c>
      <c r="M352" s="1" t="s">
        <v>46</v>
      </c>
      <c r="N352" s="1" t="s">
        <v>36</v>
      </c>
      <c r="O352">
        <v>190</v>
      </c>
      <c r="P352">
        <v>1764</v>
      </c>
      <c r="Q352">
        <v>1330</v>
      </c>
      <c r="R352">
        <v>434</v>
      </c>
      <c r="S352">
        <v>0.24603174603174599</v>
      </c>
    </row>
    <row r="353" spans="1:19" x14ac:dyDescent="0.3">
      <c r="A353" s="1" t="s">
        <v>727</v>
      </c>
      <c r="B353" s="7">
        <f>MONTH(Clean_Sales[[#This Row],[Order_Date]])</f>
        <v>1</v>
      </c>
      <c r="C353" s="6">
        <v>46048</v>
      </c>
      <c r="D353" s="1" t="s">
        <v>677</v>
      </c>
      <c r="E353" s="1" t="s">
        <v>124</v>
      </c>
      <c r="F353" s="1" t="s">
        <v>89</v>
      </c>
      <c r="G353" s="1" t="s">
        <v>90</v>
      </c>
      <c r="H353" s="1" t="s">
        <v>74</v>
      </c>
      <c r="I353">
        <v>5</v>
      </c>
      <c r="J353">
        <v>85</v>
      </c>
      <c r="K353">
        <v>48</v>
      </c>
      <c r="L353">
        <v>0.1</v>
      </c>
      <c r="M353" s="1" t="s">
        <v>23</v>
      </c>
      <c r="N353" s="1" t="s">
        <v>36</v>
      </c>
      <c r="O353">
        <v>48</v>
      </c>
      <c r="P353">
        <v>382.5</v>
      </c>
      <c r="Q353">
        <v>240</v>
      </c>
      <c r="R353">
        <v>142.5</v>
      </c>
      <c r="S353">
        <v>0.37254901960784298</v>
      </c>
    </row>
    <row r="354" spans="1:19" x14ac:dyDescent="0.3">
      <c r="A354" s="1" t="s">
        <v>728</v>
      </c>
      <c r="B354" s="7">
        <f>MONTH(Clean_Sales[[#This Row],[Order_Date]])</f>
        <v>4</v>
      </c>
      <c r="C354" s="6">
        <v>46119</v>
      </c>
      <c r="D354" s="1" t="s">
        <v>84</v>
      </c>
      <c r="E354" s="1" t="s">
        <v>28</v>
      </c>
      <c r="F354" s="1" t="s">
        <v>40</v>
      </c>
      <c r="G354" s="1" t="s">
        <v>41</v>
      </c>
      <c r="H354" s="1" t="s">
        <v>42</v>
      </c>
      <c r="I354">
        <v>1</v>
      </c>
      <c r="J354">
        <v>1250</v>
      </c>
      <c r="K354">
        <v>940</v>
      </c>
      <c r="L354">
        <v>0.15</v>
      </c>
      <c r="M354" s="1" t="s">
        <v>23</v>
      </c>
      <c r="N354" s="1" t="s">
        <v>36</v>
      </c>
      <c r="O354">
        <v>940</v>
      </c>
      <c r="P354">
        <v>1062.5</v>
      </c>
      <c r="Q354">
        <v>940</v>
      </c>
      <c r="R354">
        <v>122.5</v>
      </c>
      <c r="S354">
        <v>0.11529411764705901</v>
      </c>
    </row>
    <row r="355" spans="1:19" x14ac:dyDescent="0.3">
      <c r="A355" s="1" t="s">
        <v>729</v>
      </c>
      <c r="B355" s="7">
        <f>MONTH(Clean_Sales[[#This Row],[Order_Date]])</f>
        <v>2</v>
      </c>
      <c r="C355" s="6">
        <v>46061</v>
      </c>
      <c r="D355" s="1" t="s">
        <v>148</v>
      </c>
      <c r="E355" s="1" t="s">
        <v>28</v>
      </c>
      <c r="F355" s="1" t="s">
        <v>51</v>
      </c>
      <c r="G355" s="1" t="s">
        <v>52</v>
      </c>
      <c r="H355" s="1" t="s">
        <v>42</v>
      </c>
      <c r="I355">
        <v>3</v>
      </c>
      <c r="J355">
        <v>310</v>
      </c>
      <c r="K355">
        <v>220</v>
      </c>
      <c r="L355">
        <v>0.05</v>
      </c>
      <c r="M355" s="1" t="s">
        <v>46</v>
      </c>
      <c r="N355" s="1" t="s">
        <v>36</v>
      </c>
      <c r="O355">
        <v>220</v>
      </c>
      <c r="P355">
        <v>883.5</v>
      </c>
      <c r="Q355">
        <v>660</v>
      </c>
      <c r="R355">
        <v>223.5</v>
      </c>
      <c r="S355">
        <v>0.25297113752122202</v>
      </c>
    </row>
    <row r="356" spans="1:19" x14ac:dyDescent="0.3">
      <c r="A356" s="1" t="s">
        <v>731</v>
      </c>
      <c r="B356" s="7">
        <f>MONTH(Clean_Sales[[#This Row],[Order_Date]])</f>
        <v>5</v>
      </c>
      <c r="C356" s="6">
        <v>46169</v>
      </c>
      <c r="D356" s="1" t="s">
        <v>367</v>
      </c>
      <c r="E356" s="1" t="s">
        <v>59</v>
      </c>
      <c r="F356" s="1" t="s">
        <v>89</v>
      </c>
      <c r="G356" s="1" t="s">
        <v>90</v>
      </c>
      <c r="H356" s="1" t="s">
        <v>74</v>
      </c>
      <c r="I356">
        <v>3</v>
      </c>
      <c r="J356">
        <v>85</v>
      </c>
      <c r="K356">
        <v>48</v>
      </c>
      <c r="L356">
        <v>0.05</v>
      </c>
      <c r="M356" s="1" t="s">
        <v>23</v>
      </c>
      <c r="N356" s="1" t="s">
        <v>36</v>
      </c>
      <c r="O356">
        <v>48</v>
      </c>
      <c r="P356">
        <v>242.25</v>
      </c>
      <c r="Q356">
        <v>144</v>
      </c>
      <c r="R356">
        <v>98.25</v>
      </c>
      <c r="S356">
        <v>0.40557275541795701</v>
      </c>
    </row>
    <row r="357" spans="1:19" x14ac:dyDescent="0.3">
      <c r="A357" s="1" t="s">
        <v>732</v>
      </c>
      <c r="B357" s="7">
        <f>MONTH(Clean_Sales[[#This Row],[Order_Date]])</f>
        <v>5</v>
      </c>
      <c r="C357" s="6">
        <v>46163</v>
      </c>
      <c r="D357" s="1" t="s">
        <v>320</v>
      </c>
      <c r="E357" s="1" t="s">
        <v>59</v>
      </c>
      <c r="F357" s="1" t="s">
        <v>17</v>
      </c>
      <c r="G357" s="1" t="s">
        <v>18</v>
      </c>
      <c r="H357" s="1" t="s">
        <v>74</v>
      </c>
      <c r="I357">
        <v>2</v>
      </c>
      <c r="J357">
        <v>25</v>
      </c>
      <c r="K357">
        <v>12</v>
      </c>
      <c r="L357">
        <v>0.05</v>
      </c>
      <c r="M357" s="1" t="s">
        <v>23</v>
      </c>
      <c r="N357" s="1" t="s">
        <v>36</v>
      </c>
      <c r="O357">
        <v>12</v>
      </c>
      <c r="P357">
        <v>47.5</v>
      </c>
      <c r="Q357">
        <v>24</v>
      </c>
      <c r="R357">
        <v>23.5</v>
      </c>
      <c r="S357">
        <v>0.49473684210526298</v>
      </c>
    </row>
    <row r="358" spans="1:19" x14ac:dyDescent="0.3">
      <c r="A358" s="1" t="s">
        <v>733</v>
      </c>
      <c r="B358" s="7">
        <f>MONTH(Clean_Sales[[#This Row],[Order_Date]])</f>
        <v>5</v>
      </c>
      <c r="C358" s="6">
        <v>46145</v>
      </c>
      <c r="D358" s="1" t="s">
        <v>364</v>
      </c>
      <c r="E358" s="1" t="s">
        <v>59</v>
      </c>
      <c r="F358" s="1" t="s">
        <v>17</v>
      </c>
      <c r="G358" s="1" t="s">
        <v>18</v>
      </c>
      <c r="H358" s="1" t="s">
        <v>74</v>
      </c>
      <c r="I358">
        <v>6</v>
      </c>
      <c r="J358">
        <v>25</v>
      </c>
      <c r="K358">
        <v>12</v>
      </c>
      <c r="L358">
        <v>0.1</v>
      </c>
      <c r="M358" s="1" t="s">
        <v>46</v>
      </c>
      <c r="N358" s="1" t="s">
        <v>36</v>
      </c>
      <c r="O358">
        <v>12</v>
      </c>
      <c r="P358">
        <v>135</v>
      </c>
      <c r="Q358">
        <v>72</v>
      </c>
      <c r="R358">
        <v>63</v>
      </c>
      <c r="S358">
        <v>0.46666666666666701</v>
      </c>
    </row>
    <row r="359" spans="1:19" x14ac:dyDescent="0.3">
      <c r="A359" s="1" t="s">
        <v>734</v>
      </c>
      <c r="B359" s="7">
        <f>MONTH(Clean_Sales[[#This Row],[Order_Date]])</f>
        <v>4</v>
      </c>
      <c r="C359" s="6">
        <v>46138</v>
      </c>
      <c r="D359" s="1" t="s">
        <v>96</v>
      </c>
      <c r="E359" s="1" t="s">
        <v>28</v>
      </c>
      <c r="F359" s="1" t="s">
        <v>29</v>
      </c>
      <c r="G359" s="1" t="s">
        <v>30</v>
      </c>
      <c r="H359" s="1" t="s">
        <v>31</v>
      </c>
      <c r="I359">
        <v>3</v>
      </c>
      <c r="J359">
        <v>280</v>
      </c>
      <c r="K359">
        <v>190</v>
      </c>
      <c r="L359">
        <v>0.15</v>
      </c>
      <c r="M359" s="1" t="s">
        <v>23</v>
      </c>
      <c r="N359" s="1" t="s">
        <v>36</v>
      </c>
      <c r="O359">
        <v>190</v>
      </c>
      <c r="P359">
        <v>714</v>
      </c>
      <c r="Q359">
        <v>570</v>
      </c>
      <c r="R359">
        <v>144</v>
      </c>
      <c r="S359">
        <v>0.20168067226890801</v>
      </c>
    </row>
    <row r="360" spans="1:19" x14ac:dyDescent="0.3">
      <c r="A360" s="1" t="s">
        <v>735</v>
      </c>
      <c r="B360" s="7">
        <f>MONTH(Clean_Sales[[#This Row],[Order_Date]])</f>
        <v>5</v>
      </c>
      <c r="C360" s="6">
        <v>46166</v>
      </c>
      <c r="D360" s="1" t="s">
        <v>364</v>
      </c>
      <c r="E360" s="1" t="s">
        <v>50</v>
      </c>
      <c r="F360" s="1" t="s">
        <v>29</v>
      </c>
      <c r="G360" s="1" t="s">
        <v>30</v>
      </c>
      <c r="H360" s="1" t="s">
        <v>31</v>
      </c>
      <c r="I360">
        <v>7</v>
      </c>
      <c r="J360">
        <v>280</v>
      </c>
      <c r="K360">
        <v>190</v>
      </c>
      <c r="L360">
        <v>0</v>
      </c>
      <c r="M360" s="1" t="s">
        <v>46</v>
      </c>
      <c r="N360" s="1" t="s">
        <v>36</v>
      </c>
      <c r="O360">
        <v>190</v>
      </c>
      <c r="P360">
        <v>1960</v>
      </c>
      <c r="Q360">
        <v>1330</v>
      </c>
      <c r="R360">
        <v>630</v>
      </c>
      <c r="S360">
        <v>0.32142857142857101</v>
      </c>
    </row>
    <row r="361" spans="1:19" x14ac:dyDescent="0.3">
      <c r="A361" s="1" t="s">
        <v>736</v>
      </c>
      <c r="B361" s="7">
        <f>MONTH(Clean_Sales[[#This Row],[Order_Date]])</f>
        <v>6</v>
      </c>
      <c r="C361" s="6">
        <v>46175</v>
      </c>
      <c r="D361" s="1" t="s">
        <v>15</v>
      </c>
      <c r="E361" s="1" t="s">
        <v>124</v>
      </c>
      <c r="F361" s="1" t="s">
        <v>40</v>
      </c>
      <c r="G361" s="1" t="s">
        <v>41</v>
      </c>
      <c r="H361" s="1" t="s">
        <v>42</v>
      </c>
      <c r="I361">
        <v>4</v>
      </c>
      <c r="J361">
        <v>1250</v>
      </c>
      <c r="K361">
        <v>940</v>
      </c>
      <c r="L361">
        <v>0.15</v>
      </c>
      <c r="M361" s="1" t="s">
        <v>23</v>
      </c>
      <c r="N361" s="1" t="s">
        <v>36</v>
      </c>
      <c r="O361">
        <v>940</v>
      </c>
      <c r="P361">
        <v>4250</v>
      </c>
      <c r="Q361">
        <v>3760</v>
      </c>
      <c r="R361">
        <v>490</v>
      </c>
      <c r="S361">
        <v>0.11529411764705901</v>
      </c>
    </row>
    <row r="362" spans="1:19" x14ac:dyDescent="0.3">
      <c r="A362" s="1" t="s">
        <v>738</v>
      </c>
      <c r="B362" s="7">
        <f>MONTH(Clean_Sales[[#This Row],[Order_Date]])</f>
        <v>5</v>
      </c>
      <c r="C362" s="6">
        <v>46154</v>
      </c>
      <c r="D362" s="1" t="s">
        <v>205</v>
      </c>
      <c r="E362" s="1" t="s">
        <v>28</v>
      </c>
      <c r="F362" s="1" t="s">
        <v>17</v>
      </c>
      <c r="G362" s="1" t="s">
        <v>18</v>
      </c>
      <c r="H362" s="1" t="s">
        <v>74</v>
      </c>
      <c r="I362">
        <v>3</v>
      </c>
      <c r="J362">
        <v>25</v>
      </c>
      <c r="K362">
        <v>12</v>
      </c>
      <c r="L362">
        <v>0.05</v>
      </c>
      <c r="M362" s="1" t="s">
        <v>46</v>
      </c>
      <c r="N362" s="1" t="s">
        <v>36</v>
      </c>
      <c r="O362">
        <v>12</v>
      </c>
      <c r="P362">
        <v>71.25</v>
      </c>
      <c r="Q362">
        <v>36</v>
      </c>
      <c r="R362">
        <v>35.25</v>
      </c>
      <c r="S362">
        <v>0.49473684210526298</v>
      </c>
    </row>
    <row r="363" spans="1:19" x14ac:dyDescent="0.3">
      <c r="A363" s="1" t="s">
        <v>740</v>
      </c>
      <c r="B363" s="7">
        <f>MONTH(Clean_Sales[[#This Row],[Order_Date]])</f>
        <v>3</v>
      </c>
      <c r="C363" s="6">
        <v>46090</v>
      </c>
      <c r="D363" s="1" t="s">
        <v>396</v>
      </c>
      <c r="E363" s="1" t="s">
        <v>59</v>
      </c>
      <c r="F363" s="1" t="s">
        <v>51</v>
      </c>
      <c r="G363" s="1" t="s">
        <v>52</v>
      </c>
      <c r="H363" s="1" t="s">
        <v>42</v>
      </c>
      <c r="I363">
        <v>4</v>
      </c>
      <c r="J363">
        <v>310</v>
      </c>
      <c r="K363">
        <v>220</v>
      </c>
      <c r="L363">
        <v>0.05</v>
      </c>
      <c r="M363" s="1" t="s">
        <v>23</v>
      </c>
      <c r="N363" s="1" t="s">
        <v>36</v>
      </c>
      <c r="O363">
        <v>220</v>
      </c>
      <c r="P363">
        <v>1178</v>
      </c>
      <c r="Q363">
        <v>880</v>
      </c>
      <c r="R363">
        <v>298</v>
      </c>
      <c r="S363">
        <v>0.25297113752122202</v>
      </c>
    </row>
    <row r="364" spans="1:19" x14ac:dyDescent="0.3">
      <c r="A364" s="1" t="s">
        <v>741</v>
      </c>
      <c r="B364" s="7">
        <f>MONTH(Clean_Sales[[#This Row],[Order_Date]])</f>
        <v>1</v>
      </c>
      <c r="C364" s="6">
        <v>46023</v>
      </c>
      <c r="D364" s="1" t="s">
        <v>327</v>
      </c>
      <c r="E364" s="1" t="s">
        <v>28</v>
      </c>
      <c r="F364" s="1" t="s">
        <v>89</v>
      </c>
      <c r="G364" s="1" t="s">
        <v>90</v>
      </c>
      <c r="H364" s="1" t="s">
        <v>74</v>
      </c>
      <c r="I364">
        <v>6</v>
      </c>
      <c r="J364">
        <v>85</v>
      </c>
      <c r="K364">
        <v>48</v>
      </c>
      <c r="L364">
        <v>0.05</v>
      </c>
      <c r="M364" s="1" t="s">
        <v>23</v>
      </c>
      <c r="N364" s="1" t="s">
        <v>36</v>
      </c>
      <c r="O364">
        <v>48</v>
      </c>
      <c r="P364">
        <v>484.5</v>
      </c>
      <c r="Q364">
        <v>288</v>
      </c>
      <c r="R364">
        <v>196.5</v>
      </c>
      <c r="S364">
        <v>0.40557275541795701</v>
      </c>
    </row>
    <row r="365" spans="1:19" x14ac:dyDescent="0.3">
      <c r="A365" s="1" t="s">
        <v>744</v>
      </c>
      <c r="B365" s="7">
        <f>MONTH(Clean_Sales[[#This Row],[Order_Date]])</f>
        <v>5</v>
      </c>
      <c r="C365" s="6">
        <v>46165</v>
      </c>
      <c r="D365" s="1" t="s">
        <v>478</v>
      </c>
      <c r="E365" s="1" t="s">
        <v>124</v>
      </c>
      <c r="F365" s="1" t="s">
        <v>72</v>
      </c>
      <c r="G365" s="1" t="s">
        <v>73</v>
      </c>
      <c r="H365" s="1" t="s">
        <v>74</v>
      </c>
      <c r="I365">
        <v>7</v>
      </c>
      <c r="J365">
        <v>65</v>
      </c>
      <c r="K365">
        <v>35</v>
      </c>
      <c r="L365">
        <v>0</v>
      </c>
      <c r="M365" s="1" t="s">
        <v>46</v>
      </c>
      <c r="N365" s="1" t="s">
        <v>36</v>
      </c>
      <c r="O365">
        <v>35</v>
      </c>
      <c r="P365">
        <v>455</v>
      </c>
      <c r="Q365">
        <v>245</v>
      </c>
      <c r="R365">
        <v>210</v>
      </c>
      <c r="S365">
        <v>0.46153846153846201</v>
      </c>
    </row>
    <row r="366" spans="1:19" x14ac:dyDescent="0.3">
      <c r="A366" s="1" t="s">
        <v>745</v>
      </c>
      <c r="B366" s="7">
        <f>MONTH(Clean_Sales[[#This Row],[Order_Date]])</f>
        <v>3</v>
      </c>
      <c r="C366" s="6">
        <v>46084</v>
      </c>
      <c r="D366" s="1" t="s">
        <v>216</v>
      </c>
      <c r="E366" s="1" t="s">
        <v>28</v>
      </c>
      <c r="F366" s="1" t="s">
        <v>29</v>
      </c>
      <c r="G366" s="1" t="s">
        <v>30</v>
      </c>
      <c r="H366" s="1" t="s">
        <v>31</v>
      </c>
      <c r="I366">
        <v>6</v>
      </c>
      <c r="J366">
        <v>280</v>
      </c>
      <c r="K366">
        <v>190</v>
      </c>
      <c r="L366">
        <v>0.15</v>
      </c>
      <c r="M366" s="1" t="s">
        <v>23</v>
      </c>
      <c r="N366" s="1" t="s">
        <v>36</v>
      </c>
      <c r="O366">
        <v>190</v>
      </c>
      <c r="P366">
        <v>1428</v>
      </c>
      <c r="Q366">
        <v>1140</v>
      </c>
      <c r="R366">
        <v>288</v>
      </c>
      <c r="S366">
        <v>0.20168067226890801</v>
      </c>
    </row>
    <row r="367" spans="1:19" x14ac:dyDescent="0.3">
      <c r="A367" s="1" t="s">
        <v>746</v>
      </c>
      <c r="B367" s="7">
        <f>MONTH(Clean_Sales[[#This Row],[Order_Date]])</f>
        <v>5</v>
      </c>
      <c r="C367" s="6">
        <v>46147</v>
      </c>
      <c r="D367" s="1" t="s">
        <v>169</v>
      </c>
      <c r="E367" s="1" t="s">
        <v>59</v>
      </c>
      <c r="F367" s="1" t="s">
        <v>89</v>
      </c>
      <c r="G367" s="1" t="s">
        <v>90</v>
      </c>
      <c r="H367" s="1" t="s">
        <v>74</v>
      </c>
      <c r="I367">
        <v>1</v>
      </c>
      <c r="J367">
        <v>85</v>
      </c>
      <c r="K367">
        <v>48</v>
      </c>
      <c r="L367">
        <v>0.15</v>
      </c>
      <c r="M367" s="1" t="s">
        <v>23</v>
      </c>
      <c r="N367" s="1" t="s">
        <v>36</v>
      </c>
      <c r="O367">
        <v>48</v>
      </c>
      <c r="P367">
        <v>72.25</v>
      </c>
      <c r="Q367">
        <v>48</v>
      </c>
      <c r="R367">
        <v>24.25</v>
      </c>
      <c r="S367">
        <v>0.33564013840830398</v>
      </c>
    </row>
    <row r="368" spans="1:19" x14ac:dyDescent="0.3">
      <c r="A368" s="1" t="s">
        <v>747</v>
      </c>
      <c r="B368" s="7">
        <f>MONTH(Clean_Sales[[#This Row],[Order_Date]])</f>
        <v>5</v>
      </c>
      <c r="C368" s="6">
        <v>46163</v>
      </c>
      <c r="D368" s="1" t="s">
        <v>27</v>
      </c>
      <c r="E368" s="1" t="s">
        <v>28</v>
      </c>
      <c r="F368" s="1" t="s">
        <v>40</v>
      </c>
      <c r="G368" s="1" t="s">
        <v>41</v>
      </c>
      <c r="H368" s="1" t="s">
        <v>42</v>
      </c>
      <c r="I368">
        <v>1</v>
      </c>
      <c r="J368">
        <v>1250</v>
      </c>
      <c r="K368">
        <v>940</v>
      </c>
      <c r="L368">
        <v>0.15</v>
      </c>
      <c r="M368" s="1" t="s">
        <v>46</v>
      </c>
      <c r="N368" s="1" t="s">
        <v>36</v>
      </c>
      <c r="O368">
        <v>940</v>
      </c>
      <c r="P368">
        <v>1062.5</v>
      </c>
      <c r="Q368">
        <v>940</v>
      </c>
      <c r="R368">
        <v>122.5</v>
      </c>
      <c r="S368">
        <v>0.11529411764705901</v>
      </c>
    </row>
    <row r="369" spans="1:19" x14ac:dyDescent="0.3">
      <c r="A369" s="1" t="s">
        <v>748</v>
      </c>
      <c r="B369" s="7">
        <f>MONTH(Clean_Sales[[#This Row],[Order_Date]])</f>
        <v>6</v>
      </c>
      <c r="C369" s="6">
        <v>46180</v>
      </c>
      <c r="D369" s="1" t="s">
        <v>84</v>
      </c>
      <c r="E369" s="1" t="s">
        <v>59</v>
      </c>
      <c r="F369" s="1" t="s">
        <v>51</v>
      </c>
      <c r="G369" s="1" t="s">
        <v>52</v>
      </c>
      <c r="H369" s="1" t="s">
        <v>42</v>
      </c>
      <c r="I369">
        <v>5</v>
      </c>
      <c r="J369">
        <v>310</v>
      </c>
      <c r="K369">
        <v>220</v>
      </c>
      <c r="L369">
        <v>0.1</v>
      </c>
      <c r="M369" s="1" t="s">
        <v>23</v>
      </c>
      <c r="N369" s="1" t="s">
        <v>36</v>
      </c>
      <c r="O369">
        <v>220</v>
      </c>
      <c r="P369">
        <v>1395</v>
      </c>
      <c r="Q369">
        <v>1100</v>
      </c>
      <c r="R369">
        <v>295</v>
      </c>
      <c r="S369">
        <v>0.21146953405017899</v>
      </c>
    </row>
    <row r="370" spans="1:19" x14ac:dyDescent="0.3">
      <c r="A370" s="1" t="s">
        <v>749</v>
      </c>
      <c r="B370" s="7">
        <f>MONTH(Clean_Sales[[#This Row],[Order_Date]])</f>
        <v>5</v>
      </c>
      <c r="C370" s="6">
        <v>46161</v>
      </c>
      <c r="D370" s="1" t="s">
        <v>166</v>
      </c>
      <c r="E370" s="1" t="s">
        <v>59</v>
      </c>
      <c r="F370" s="1" t="s">
        <v>51</v>
      </c>
      <c r="G370" s="1" t="s">
        <v>52</v>
      </c>
      <c r="H370" s="1" t="s">
        <v>42</v>
      </c>
      <c r="I370">
        <v>7</v>
      </c>
      <c r="J370">
        <v>310</v>
      </c>
      <c r="K370">
        <v>220</v>
      </c>
      <c r="L370">
        <v>0</v>
      </c>
      <c r="M370" s="1" t="s">
        <v>46</v>
      </c>
      <c r="N370" s="1" t="s">
        <v>36</v>
      </c>
      <c r="O370">
        <v>220</v>
      </c>
      <c r="P370">
        <v>2170</v>
      </c>
      <c r="Q370">
        <v>1540</v>
      </c>
      <c r="R370">
        <v>630</v>
      </c>
      <c r="S370">
        <v>0.29032258064516098</v>
      </c>
    </row>
    <row r="371" spans="1:19" x14ac:dyDescent="0.3">
      <c r="A371" s="1" t="s">
        <v>751</v>
      </c>
      <c r="B371" s="7">
        <f>MONTH(Clean_Sales[[#This Row],[Order_Date]])</f>
        <v>1</v>
      </c>
      <c r="C371" s="6">
        <v>46040</v>
      </c>
      <c r="D371" s="1" t="s">
        <v>610</v>
      </c>
      <c r="E371" s="1" t="s">
        <v>124</v>
      </c>
      <c r="F371" s="1" t="s">
        <v>72</v>
      </c>
      <c r="G371" s="1" t="s">
        <v>73</v>
      </c>
      <c r="H371" s="1" t="s">
        <v>74</v>
      </c>
      <c r="I371">
        <v>1</v>
      </c>
      <c r="J371">
        <v>65</v>
      </c>
      <c r="K371">
        <v>35</v>
      </c>
      <c r="L371">
        <v>0.05</v>
      </c>
      <c r="M371" s="1" t="s">
        <v>46</v>
      </c>
      <c r="N371" s="1" t="s">
        <v>36</v>
      </c>
      <c r="O371">
        <v>35</v>
      </c>
      <c r="P371">
        <v>61.75</v>
      </c>
      <c r="Q371">
        <v>35</v>
      </c>
      <c r="R371">
        <v>26.75</v>
      </c>
      <c r="S371">
        <v>0.43319838056680199</v>
      </c>
    </row>
    <row r="372" spans="1:19" x14ac:dyDescent="0.3">
      <c r="A372" s="1" t="s">
        <v>752</v>
      </c>
      <c r="B372" s="7">
        <f>MONTH(Clean_Sales[[#This Row],[Order_Date]])</f>
        <v>4</v>
      </c>
      <c r="C372" s="6">
        <v>46141</v>
      </c>
      <c r="D372" s="1" t="s">
        <v>536</v>
      </c>
      <c r="E372" s="1" t="s">
        <v>59</v>
      </c>
      <c r="F372" s="1" t="s">
        <v>89</v>
      </c>
      <c r="G372" s="1" t="s">
        <v>90</v>
      </c>
      <c r="H372" s="1" t="s">
        <v>74</v>
      </c>
      <c r="I372">
        <v>8</v>
      </c>
      <c r="J372">
        <v>85</v>
      </c>
      <c r="K372">
        <v>48</v>
      </c>
      <c r="L372">
        <v>0.15</v>
      </c>
      <c r="M372" s="1" t="s">
        <v>46</v>
      </c>
      <c r="N372" s="1" t="s">
        <v>36</v>
      </c>
      <c r="O372">
        <v>48</v>
      </c>
      <c r="P372">
        <v>578</v>
      </c>
      <c r="Q372">
        <v>384</v>
      </c>
      <c r="R372">
        <v>194</v>
      </c>
      <c r="S372">
        <v>0.33564013840830398</v>
      </c>
    </row>
    <row r="373" spans="1:19" x14ac:dyDescent="0.3">
      <c r="A373" s="1" t="s">
        <v>753</v>
      </c>
      <c r="B373" s="7">
        <f>MONTH(Clean_Sales[[#This Row],[Order_Date]])</f>
        <v>5</v>
      </c>
      <c r="C373" s="6">
        <v>46169</v>
      </c>
      <c r="D373" s="1" t="s">
        <v>185</v>
      </c>
      <c r="E373" s="1" t="s">
        <v>50</v>
      </c>
      <c r="F373" s="1" t="s">
        <v>29</v>
      </c>
      <c r="G373" s="1" t="s">
        <v>30</v>
      </c>
      <c r="H373" s="1" t="s">
        <v>31</v>
      </c>
      <c r="I373">
        <v>1</v>
      </c>
      <c r="J373">
        <v>280</v>
      </c>
      <c r="K373">
        <v>190</v>
      </c>
      <c r="L373">
        <v>0</v>
      </c>
      <c r="M373" s="1" t="s">
        <v>46</v>
      </c>
      <c r="N373" s="1" t="s">
        <v>36</v>
      </c>
      <c r="O373">
        <v>190</v>
      </c>
      <c r="P373">
        <v>280</v>
      </c>
      <c r="Q373">
        <v>190</v>
      </c>
      <c r="R373">
        <v>90</v>
      </c>
      <c r="S373">
        <v>0.32142857142857101</v>
      </c>
    </row>
    <row r="374" spans="1:19" x14ac:dyDescent="0.3">
      <c r="A374" s="1" t="s">
        <v>754</v>
      </c>
      <c r="B374" s="7">
        <f>MONTH(Clean_Sales[[#This Row],[Order_Date]])</f>
        <v>6</v>
      </c>
      <c r="C374" s="6">
        <v>46201</v>
      </c>
      <c r="D374" s="1" t="s">
        <v>356</v>
      </c>
      <c r="E374" s="1" t="s">
        <v>50</v>
      </c>
      <c r="F374" s="1" t="s">
        <v>29</v>
      </c>
      <c r="G374" s="1" t="s">
        <v>30</v>
      </c>
      <c r="H374" s="1" t="s">
        <v>31</v>
      </c>
      <c r="I374">
        <v>6</v>
      </c>
      <c r="J374">
        <v>280</v>
      </c>
      <c r="K374">
        <v>190</v>
      </c>
      <c r="L374">
        <v>0</v>
      </c>
      <c r="M374" s="1" t="s">
        <v>46</v>
      </c>
      <c r="N374" s="1" t="s">
        <v>36</v>
      </c>
      <c r="O374">
        <v>190</v>
      </c>
      <c r="P374">
        <v>1680</v>
      </c>
      <c r="Q374">
        <v>1140</v>
      </c>
      <c r="R374">
        <v>540</v>
      </c>
      <c r="S374">
        <v>0.32142857142857101</v>
      </c>
    </row>
    <row r="375" spans="1:19" x14ac:dyDescent="0.3">
      <c r="A375" s="1" t="s">
        <v>755</v>
      </c>
      <c r="B375" s="7">
        <f>MONTH(Clean_Sales[[#This Row],[Order_Date]])</f>
        <v>2</v>
      </c>
      <c r="C375" s="6">
        <v>46056</v>
      </c>
      <c r="D375" s="1" t="s">
        <v>15</v>
      </c>
      <c r="E375" s="1" t="s">
        <v>50</v>
      </c>
      <c r="F375" s="1" t="s">
        <v>106</v>
      </c>
      <c r="G375" s="1" t="s">
        <v>107</v>
      </c>
      <c r="H375" s="1" t="s">
        <v>31</v>
      </c>
      <c r="I375">
        <v>2</v>
      </c>
      <c r="J375">
        <v>190</v>
      </c>
      <c r="K375">
        <v>115</v>
      </c>
      <c r="L375">
        <v>0.15</v>
      </c>
      <c r="M375" s="1" t="s">
        <v>23</v>
      </c>
      <c r="N375" s="1" t="s">
        <v>36</v>
      </c>
      <c r="O375">
        <v>115</v>
      </c>
      <c r="P375">
        <v>323</v>
      </c>
      <c r="Q375">
        <v>230</v>
      </c>
      <c r="R375">
        <v>93</v>
      </c>
      <c r="S375">
        <v>0.28792569659442702</v>
      </c>
    </row>
    <row r="376" spans="1:19" x14ac:dyDescent="0.3">
      <c r="A376" s="1" t="s">
        <v>757</v>
      </c>
      <c r="B376" s="7">
        <f>MONTH(Clean_Sales[[#This Row],[Order_Date]])</f>
        <v>2</v>
      </c>
      <c r="C376" s="6">
        <v>46059</v>
      </c>
      <c r="D376" s="1" t="s">
        <v>254</v>
      </c>
      <c r="E376" s="1" t="s">
        <v>50</v>
      </c>
      <c r="F376" s="1" t="s">
        <v>40</v>
      </c>
      <c r="G376" s="1" t="s">
        <v>41</v>
      </c>
      <c r="H376" s="1" t="s">
        <v>42</v>
      </c>
      <c r="I376">
        <v>4</v>
      </c>
      <c r="J376">
        <v>1250</v>
      </c>
      <c r="K376">
        <v>940</v>
      </c>
      <c r="L376">
        <v>0.15</v>
      </c>
      <c r="M376" s="1" t="s">
        <v>46</v>
      </c>
      <c r="N376" s="1" t="s">
        <v>36</v>
      </c>
      <c r="O376">
        <v>940</v>
      </c>
      <c r="P376">
        <v>4250</v>
      </c>
      <c r="Q376">
        <v>3760</v>
      </c>
      <c r="R376">
        <v>490</v>
      </c>
      <c r="S376">
        <v>0.11529411764705901</v>
      </c>
    </row>
    <row r="377" spans="1:19" x14ac:dyDescent="0.3">
      <c r="A377" s="1" t="s">
        <v>758</v>
      </c>
      <c r="B377" s="7">
        <f>MONTH(Clean_Sales[[#This Row],[Order_Date]])</f>
        <v>4</v>
      </c>
      <c r="C377" s="6">
        <v>46130</v>
      </c>
      <c r="D377" s="1" t="s">
        <v>99</v>
      </c>
      <c r="E377" s="1" t="s">
        <v>50</v>
      </c>
      <c r="F377" s="1" t="s">
        <v>64</v>
      </c>
      <c r="G377" s="1" t="s">
        <v>65</v>
      </c>
      <c r="H377" s="1" t="s">
        <v>42</v>
      </c>
      <c r="I377">
        <v>6</v>
      </c>
      <c r="J377">
        <v>360</v>
      </c>
      <c r="K377">
        <v>250</v>
      </c>
      <c r="L377">
        <v>0.15</v>
      </c>
      <c r="M377" s="1" t="s">
        <v>23</v>
      </c>
      <c r="N377" s="1" t="s">
        <v>36</v>
      </c>
      <c r="O377">
        <v>250</v>
      </c>
      <c r="P377">
        <v>1836</v>
      </c>
      <c r="Q377">
        <v>1500</v>
      </c>
      <c r="R377">
        <v>336</v>
      </c>
      <c r="S377">
        <v>0.18300653594771199</v>
      </c>
    </row>
    <row r="378" spans="1:19" x14ac:dyDescent="0.3">
      <c r="A378" s="1" t="s">
        <v>759</v>
      </c>
      <c r="B378" s="7">
        <f>MONTH(Clean_Sales[[#This Row],[Order_Date]])</f>
        <v>5</v>
      </c>
      <c r="C378" s="6">
        <v>46146</v>
      </c>
      <c r="D378" s="1" t="s">
        <v>333</v>
      </c>
      <c r="E378" s="1" t="s">
        <v>50</v>
      </c>
      <c r="F378" s="1" t="s">
        <v>72</v>
      </c>
      <c r="G378" s="1" t="s">
        <v>73</v>
      </c>
      <c r="H378" s="1" t="s">
        <v>74</v>
      </c>
      <c r="I378">
        <v>2</v>
      </c>
      <c r="J378">
        <v>65</v>
      </c>
      <c r="K378">
        <v>35</v>
      </c>
      <c r="L378">
        <v>0.15</v>
      </c>
      <c r="M378" s="1" t="s">
        <v>23</v>
      </c>
      <c r="N378" s="1" t="s">
        <v>36</v>
      </c>
      <c r="O378">
        <v>35</v>
      </c>
      <c r="P378">
        <v>110.5</v>
      </c>
      <c r="Q378">
        <v>70</v>
      </c>
      <c r="R378">
        <v>40.5</v>
      </c>
      <c r="S378">
        <v>0.36651583710407198</v>
      </c>
    </row>
    <row r="379" spans="1:19" x14ac:dyDescent="0.3">
      <c r="A379" s="1" t="s">
        <v>760</v>
      </c>
      <c r="B379" s="7">
        <f>MONTH(Clean_Sales[[#This Row],[Order_Date]])</f>
        <v>4</v>
      </c>
      <c r="C379" s="6">
        <v>46123</v>
      </c>
      <c r="D379" s="1" t="s">
        <v>248</v>
      </c>
      <c r="E379" s="1" t="s">
        <v>50</v>
      </c>
      <c r="F379" s="1" t="s">
        <v>51</v>
      </c>
      <c r="G379" s="1" t="s">
        <v>52</v>
      </c>
      <c r="H379" s="1" t="s">
        <v>42</v>
      </c>
      <c r="I379">
        <v>4</v>
      </c>
      <c r="J379">
        <v>310</v>
      </c>
      <c r="K379">
        <v>220</v>
      </c>
      <c r="L379">
        <v>0</v>
      </c>
      <c r="M379" s="1" t="s">
        <v>46</v>
      </c>
      <c r="N379" s="1" t="s">
        <v>36</v>
      </c>
      <c r="O379">
        <v>220</v>
      </c>
      <c r="P379">
        <v>1240</v>
      </c>
      <c r="Q379">
        <v>880</v>
      </c>
      <c r="R379">
        <v>360</v>
      </c>
      <c r="S379">
        <v>0.29032258064516098</v>
      </c>
    </row>
    <row r="380" spans="1:19" x14ac:dyDescent="0.3">
      <c r="A380" s="1" t="s">
        <v>761</v>
      </c>
      <c r="B380" s="7">
        <f>MONTH(Clean_Sales[[#This Row],[Order_Date]])</f>
        <v>3</v>
      </c>
      <c r="C380" s="6">
        <v>46094</v>
      </c>
      <c r="D380" s="1" t="s">
        <v>175</v>
      </c>
      <c r="E380" s="1" t="s">
        <v>124</v>
      </c>
      <c r="F380" s="1" t="s">
        <v>72</v>
      </c>
      <c r="G380" s="1" t="s">
        <v>73</v>
      </c>
      <c r="H380" s="1" t="s">
        <v>74</v>
      </c>
      <c r="I380">
        <v>3</v>
      </c>
      <c r="J380">
        <v>65</v>
      </c>
      <c r="K380">
        <v>35</v>
      </c>
      <c r="L380">
        <v>0</v>
      </c>
      <c r="M380" s="1" t="s">
        <v>23</v>
      </c>
      <c r="N380" s="1" t="s">
        <v>36</v>
      </c>
      <c r="O380">
        <v>35</v>
      </c>
      <c r="P380">
        <v>195</v>
      </c>
      <c r="Q380">
        <v>105</v>
      </c>
      <c r="R380">
        <v>90</v>
      </c>
      <c r="S380">
        <v>0.46153846153846201</v>
      </c>
    </row>
    <row r="381" spans="1:19" x14ac:dyDescent="0.3">
      <c r="A381" s="1" t="s">
        <v>762</v>
      </c>
      <c r="B381" s="7">
        <f>MONTH(Clean_Sales[[#This Row],[Order_Date]])</f>
        <v>3</v>
      </c>
      <c r="C381" s="6">
        <v>46105</v>
      </c>
      <c r="D381" s="1" t="s">
        <v>333</v>
      </c>
      <c r="E381" s="1" t="s">
        <v>28</v>
      </c>
      <c r="F381" s="1" t="s">
        <v>17</v>
      </c>
      <c r="G381" s="1" t="s">
        <v>18</v>
      </c>
      <c r="H381" s="1" t="s">
        <v>74</v>
      </c>
      <c r="I381">
        <v>6</v>
      </c>
      <c r="J381">
        <v>25</v>
      </c>
      <c r="K381">
        <v>12</v>
      </c>
      <c r="L381">
        <v>0.1</v>
      </c>
      <c r="M381" s="1" t="s">
        <v>46</v>
      </c>
      <c r="N381" s="1" t="s">
        <v>36</v>
      </c>
      <c r="O381">
        <v>12</v>
      </c>
      <c r="P381">
        <v>135</v>
      </c>
      <c r="Q381">
        <v>72</v>
      </c>
      <c r="R381">
        <v>63</v>
      </c>
      <c r="S381">
        <v>0.46666666666666701</v>
      </c>
    </row>
    <row r="382" spans="1:19" x14ac:dyDescent="0.3">
      <c r="A382" s="1" t="s">
        <v>763</v>
      </c>
      <c r="B382" s="7">
        <f>MONTH(Clean_Sales[[#This Row],[Order_Date]])</f>
        <v>1</v>
      </c>
      <c r="C382" s="6">
        <v>46037</v>
      </c>
      <c r="D382" s="1" t="s">
        <v>295</v>
      </c>
      <c r="E382" s="1" t="s">
        <v>50</v>
      </c>
      <c r="F382" s="1" t="s">
        <v>29</v>
      </c>
      <c r="G382" s="1" t="s">
        <v>30</v>
      </c>
      <c r="H382" s="1" t="s">
        <v>31</v>
      </c>
      <c r="I382">
        <v>5</v>
      </c>
      <c r="J382">
        <v>280</v>
      </c>
      <c r="K382">
        <v>190</v>
      </c>
      <c r="L382">
        <v>0.15</v>
      </c>
      <c r="M382" s="1" t="s">
        <v>23</v>
      </c>
      <c r="N382" s="1" t="s">
        <v>36</v>
      </c>
      <c r="O382">
        <v>190</v>
      </c>
      <c r="P382">
        <v>1190</v>
      </c>
      <c r="Q382">
        <v>950</v>
      </c>
      <c r="R382">
        <v>240</v>
      </c>
      <c r="S382">
        <v>0.20168067226890801</v>
      </c>
    </row>
    <row r="383" spans="1:19" x14ac:dyDescent="0.3">
      <c r="A383" s="1" t="s">
        <v>765</v>
      </c>
      <c r="B383" s="7">
        <f>MONTH(Clean_Sales[[#This Row],[Order_Date]])</f>
        <v>5</v>
      </c>
      <c r="C383" s="6">
        <v>46169</v>
      </c>
      <c r="D383" s="1" t="s">
        <v>454</v>
      </c>
      <c r="E383" s="1" t="s">
        <v>28</v>
      </c>
      <c r="F383" s="1" t="s">
        <v>40</v>
      </c>
      <c r="G383" s="1" t="s">
        <v>41</v>
      </c>
      <c r="H383" s="1" t="s">
        <v>42</v>
      </c>
      <c r="I383">
        <v>5</v>
      </c>
      <c r="J383">
        <v>1250</v>
      </c>
      <c r="K383">
        <v>940</v>
      </c>
      <c r="L383">
        <v>0.15</v>
      </c>
      <c r="M383" s="1" t="s">
        <v>23</v>
      </c>
      <c r="N383" s="1" t="s">
        <v>36</v>
      </c>
      <c r="O383">
        <v>940</v>
      </c>
      <c r="P383">
        <v>5312.5</v>
      </c>
      <c r="Q383">
        <v>4700</v>
      </c>
      <c r="R383">
        <v>612.5</v>
      </c>
      <c r="S383">
        <v>0.11529411764705901</v>
      </c>
    </row>
    <row r="384" spans="1:19" x14ac:dyDescent="0.3">
      <c r="A384" s="1" t="s">
        <v>766</v>
      </c>
      <c r="B384" s="7">
        <f>MONTH(Clean_Sales[[#This Row],[Order_Date]])</f>
        <v>4</v>
      </c>
      <c r="C384" s="6">
        <v>46118</v>
      </c>
      <c r="D384" s="1" t="s">
        <v>331</v>
      </c>
      <c r="E384" s="1" t="s">
        <v>59</v>
      </c>
      <c r="F384" s="1" t="s">
        <v>40</v>
      </c>
      <c r="G384" s="1" t="s">
        <v>41</v>
      </c>
      <c r="H384" s="1" t="s">
        <v>42</v>
      </c>
      <c r="I384">
        <v>6</v>
      </c>
      <c r="J384">
        <v>1250</v>
      </c>
      <c r="K384">
        <v>940</v>
      </c>
      <c r="L384">
        <v>0.05</v>
      </c>
      <c r="M384" s="1" t="s">
        <v>46</v>
      </c>
      <c r="N384" s="1" t="s">
        <v>36</v>
      </c>
      <c r="O384">
        <v>940</v>
      </c>
      <c r="P384">
        <v>7125</v>
      </c>
      <c r="Q384">
        <v>5640</v>
      </c>
      <c r="R384">
        <v>1485</v>
      </c>
      <c r="S384">
        <v>0.20842105263157901</v>
      </c>
    </row>
    <row r="385" spans="1:19" x14ac:dyDescent="0.3">
      <c r="A385" s="1" t="s">
        <v>767</v>
      </c>
      <c r="B385" s="7">
        <f>MONTH(Clean_Sales[[#This Row],[Order_Date]])</f>
        <v>5</v>
      </c>
      <c r="C385" s="6">
        <v>46149</v>
      </c>
      <c r="D385" s="1" t="s">
        <v>222</v>
      </c>
      <c r="E385" s="1" t="s">
        <v>50</v>
      </c>
      <c r="F385" s="1" t="s">
        <v>89</v>
      </c>
      <c r="G385" s="1" t="s">
        <v>90</v>
      </c>
      <c r="H385" s="1" t="s">
        <v>74</v>
      </c>
      <c r="I385">
        <v>2</v>
      </c>
      <c r="J385">
        <v>85</v>
      </c>
      <c r="K385">
        <v>48</v>
      </c>
      <c r="L385">
        <v>0.1</v>
      </c>
      <c r="M385" s="1" t="s">
        <v>46</v>
      </c>
      <c r="N385" s="1" t="s">
        <v>36</v>
      </c>
      <c r="O385">
        <v>48</v>
      </c>
      <c r="P385">
        <v>153</v>
      </c>
      <c r="Q385">
        <v>96</v>
      </c>
      <c r="R385">
        <v>57</v>
      </c>
      <c r="S385">
        <v>0.37254901960784298</v>
      </c>
    </row>
    <row r="386" spans="1:19" x14ac:dyDescent="0.3">
      <c r="A386" s="1" t="s">
        <v>768</v>
      </c>
      <c r="B386" s="7">
        <f>MONTH(Clean_Sales[[#This Row],[Order_Date]])</f>
        <v>4</v>
      </c>
      <c r="C386" s="6">
        <v>46138</v>
      </c>
      <c r="D386" s="1" t="s">
        <v>254</v>
      </c>
      <c r="E386" s="1" t="s">
        <v>50</v>
      </c>
      <c r="F386" s="1" t="s">
        <v>29</v>
      </c>
      <c r="G386" s="1" t="s">
        <v>30</v>
      </c>
      <c r="H386" s="1" t="s">
        <v>31</v>
      </c>
      <c r="I386">
        <v>2</v>
      </c>
      <c r="J386">
        <v>280</v>
      </c>
      <c r="K386">
        <v>190</v>
      </c>
      <c r="L386">
        <v>0.1</v>
      </c>
      <c r="M386" s="1" t="s">
        <v>46</v>
      </c>
      <c r="N386" s="1" t="s">
        <v>36</v>
      </c>
      <c r="O386">
        <v>190</v>
      </c>
      <c r="P386">
        <v>504</v>
      </c>
      <c r="Q386">
        <v>380</v>
      </c>
      <c r="R386">
        <v>124</v>
      </c>
      <c r="S386">
        <v>0.24603174603174599</v>
      </c>
    </row>
    <row r="387" spans="1:19" x14ac:dyDescent="0.3">
      <c r="A387" s="1" t="s">
        <v>769</v>
      </c>
      <c r="B387" s="7">
        <f>MONTH(Clean_Sales[[#This Row],[Order_Date]])</f>
        <v>6</v>
      </c>
      <c r="C387" s="6">
        <v>46178</v>
      </c>
      <c r="D387" s="1" t="s">
        <v>166</v>
      </c>
      <c r="E387" s="1" t="s">
        <v>59</v>
      </c>
      <c r="F387" s="1" t="s">
        <v>64</v>
      </c>
      <c r="G387" s="1" t="s">
        <v>65</v>
      </c>
      <c r="H387" s="1" t="s">
        <v>42</v>
      </c>
      <c r="I387">
        <v>1</v>
      </c>
      <c r="J387">
        <v>360</v>
      </c>
      <c r="K387">
        <v>250</v>
      </c>
      <c r="L387">
        <v>0.05</v>
      </c>
      <c r="M387" s="1" t="s">
        <v>23</v>
      </c>
      <c r="N387" s="1" t="s">
        <v>36</v>
      </c>
      <c r="O387">
        <v>250</v>
      </c>
      <c r="P387">
        <v>342</v>
      </c>
      <c r="Q387">
        <v>250</v>
      </c>
      <c r="R387">
        <v>92</v>
      </c>
      <c r="S387">
        <v>0.26900584795321603</v>
      </c>
    </row>
    <row r="388" spans="1:19" x14ac:dyDescent="0.3">
      <c r="A388" s="1" t="s">
        <v>770</v>
      </c>
      <c r="B388" s="7">
        <f>MONTH(Clean_Sales[[#This Row],[Order_Date]])</f>
        <v>3</v>
      </c>
      <c r="C388" s="6">
        <v>46110</v>
      </c>
      <c r="D388" s="1" t="s">
        <v>159</v>
      </c>
      <c r="E388" s="1" t="s">
        <v>124</v>
      </c>
      <c r="F388" s="1" t="s">
        <v>40</v>
      </c>
      <c r="G388" s="1" t="s">
        <v>41</v>
      </c>
      <c r="H388" s="1" t="s">
        <v>42</v>
      </c>
      <c r="I388">
        <v>6</v>
      </c>
      <c r="J388">
        <v>1250</v>
      </c>
      <c r="K388">
        <v>940</v>
      </c>
      <c r="L388">
        <v>0</v>
      </c>
      <c r="M388" s="1" t="s">
        <v>23</v>
      </c>
      <c r="N388" s="1" t="s">
        <v>36</v>
      </c>
      <c r="O388">
        <v>940</v>
      </c>
      <c r="P388">
        <v>7500</v>
      </c>
      <c r="Q388">
        <v>5640</v>
      </c>
      <c r="R388">
        <v>1860</v>
      </c>
      <c r="S388">
        <v>0.248</v>
      </c>
    </row>
    <row r="389" spans="1:19" x14ac:dyDescent="0.3">
      <c r="A389" s="1" t="s">
        <v>771</v>
      </c>
      <c r="B389" s="7">
        <f>MONTH(Clean_Sales[[#This Row],[Order_Date]])</f>
        <v>5</v>
      </c>
      <c r="C389" s="6">
        <v>46153</v>
      </c>
      <c r="D389" s="1" t="s">
        <v>610</v>
      </c>
      <c r="E389" s="1" t="s">
        <v>28</v>
      </c>
      <c r="F389" s="1" t="s">
        <v>64</v>
      </c>
      <c r="G389" s="1" t="s">
        <v>65</v>
      </c>
      <c r="H389" s="1" t="s">
        <v>42</v>
      </c>
      <c r="I389">
        <v>5</v>
      </c>
      <c r="J389">
        <v>360</v>
      </c>
      <c r="K389">
        <v>250</v>
      </c>
      <c r="L389">
        <v>0.05</v>
      </c>
      <c r="M389" s="1" t="s">
        <v>23</v>
      </c>
      <c r="N389" s="1" t="s">
        <v>36</v>
      </c>
      <c r="O389">
        <v>250</v>
      </c>
      <c r="P389">
        <v>1710</v>
      </c>
      <c r="Q389">
        <v>1250</v>
      </c>
      <c r="R389">
        <v>460</v>
      </c>
      <c r="S389">
        <v>0.26900584795321603</v>
      </c>
    </row>
    <row r="390" spans="1:19" x14ac:dyDescent="0.3">
      <c r="A390" s="1" t="s">
        <v>772</v>
      </c>
      <c r="B390" s="7">
        <f>MONTH(Clean_Sales[[#This Row],[Order_Date]])</f>
        <v>3</v>
      </c>
      <c r="C390" s="6">
        <v>46091</v>
      </c>
      <c r="D390" s="1" t="s">
        <v>273</v>
      </c>
      <c r="E390" s="1" t="s">
        <v>59</v>
      </c>
      <c r="F390" s="1" t="s">
        <v>106</v>
      </c>
      <c r="G390" s="1" t="s">
        <v>107</v>
      </c>
      <c r="H390" s="1" t="s">
        <v>31</v>
      </c>
      <c r="I390">
        <v>6</v>
      </c>
      <c r="J390">
        <v>190</v>
      </c>
      <c r="K390">
        <v>115</v>
      </c>
      <c r="L390">
        <v>0.1</v>
      </c>
      <c r="M390" s="1" t="s">
        <v>46</v>
      </c>
      <c r="N390" s="1" t="s">
        <v>36</v>
      </c>
      <c r="O390">
        <v>115</v>
      </c>
      <c r="P390">
        <v>1026</v>
      </c>
      <c r="Q390">
        <v>690</v>
      </c>
      <c r="R390">
        <v>336</v>
      </c>
      <c r="S390">
        <v>0.32748538011695899</v>
      </c>
    </row>
    <row r="391" spans="1:19" x14ac:dyDescent="0.3">
      <c r="A391" s="1" t="s">
        <v>773</v>
      </c>
      <c r="B391" s="7">
        <f>MONTH(Clean_Sales[[#This Row],[Order_Date]])</f>
        <v>3</v>
      </c>
      <c r="C391" s="6">
        <v>46110</v>
      </c>
      <c r="D391" s="1" t="s">
        <v>211</v>
      </c>
      <c r="E391" s="1" t="s">
        <v>59</v>
      </c>
      <c r="F391" s="1" t="s">
        <v>89</v>
      </c>
      <c r="G391" s="1" t="s">
        <v>90</v>
      </c>
      <c r="H391" s="1" t="s">
        <v>74</v>
      </c>
      <c r="I391">
        <v>1</v>
      </c>
      <c r="J391">
        <v>85</v>
      </c>
      <c r="K391">
        <v>48</v>
      </c>
      <c r="L391">
        <v>0.05</v>
      </c>
      <c r="M391" s="1" t="s">
        <v>23</v>
      </c>
      <c r="N391" s="1" t="s">
        <v>36</v>
      </c>
      <c r="O391">
        <v>48</v>
      </c>
      <c r="P391">
        <v>80.75</v>
      </c>
      <c r="Q391">
        <v>48</v>
      </c>
      <c r="R391">
        <v>32.75</v>
      </c>
      <c r="S391">
        <v>0.40557275541795701</v>
      </c>
    </row>
    <row r="392" spans="1:19" x14ac:dyDescent="0.3">
      <c r="A392" s="1" t="s">
        <v>774</v>
      </c>
      <c r="B392" s="7">
        <f>MONTH(Clean_Sales[[#This Row],[Order_Date]])</f>
        <v>6</v>
      </c>
      <c r="C392" s="6">
        <v>46190</v>
      </c>
      <c r="D392" s="1" t="s">
        <v>194</v>
      </c>
      <c r="E392" s="1" t="s">
        <v>124</v>
      </c>
      <c r="F392" s="1" t="s">
        <v>29</v>
      </c>
      <c r="G392" s="1" t="s">
        <v>30</v>
      </c>
      <c r="H392" s="1" t="s">
        <v>31</v>
      </c>
      <c r="I392">
        <v>4</v>
      </c>
      <c r="J392">
        <v>280</v>
      </c>
      <c r="K392">
        <v>190</v>
      </c>
      <c r="L392">
        <v>0.1</v>
      </c>
      <c r="M392" s="1" t="s">
        <v>46</v>
      </c>
      <c r="N392" s="1" t="s">
        <v>36</v>
      </c>
      <c r="O392">
        <v>190</v>
      </c>
      <c r="P392">
        <v>1008</v>
      </c>
      <c r="Q392">
        <v>760</v>
      </c>
      <c r="R392">
        <v>248</v>
      </c>
      <c r="S392">
        <v>0.24603174603174599</v>
      </c>
    </row>
    <row r="393" spans="1:19" x14ac:dyDescent="0.3">
      <c r="A393" s="1" t="s">
        <v>775</v>
      </c>
      <c r="B393" s="7">
        <f>MONTH(Clean_Sales[[#This Row],[Order_Date]])</f>
        <v>2</v>
      </c>
      <c r="C393" s="6">
        <v>46054</v>
      </c>
      <c r="D393" s="1" t="s">
        <v>382</v>
      </c>
      <c r="E393" s="1" t="s">
        <v>59</v>
      </c>
      <c r="F393" s="1" t="s">
        <v>29</v>
      </c>
      <c r="G393" s="1" t="s">
        <v>30</v>
      </c>
      <c r="H393" s="1" t="s">
        <v>31</v>
      </c>
      <c r="I393">
        <v>2</v>
      </c>
      <c r="J393">
        <v>280</v>
      </c>
      <c r="K393">
        <v>190</v>
      </c>
      <c r="L393">
        <v>0.05</v>
      </c>
      <c r="M393" s="1" t="s">
        <v>23</v>
      </c>
      <c r="N393" s="1" t="s">
        <v>36</v>
      </c>
      <c r="O393">
        <v>190</v>
      </c>
      <c r="P393">
        <v>532</v>
      </c>
      <c r="Q393">
        <v>380</v>
      </c>
      <c r="R393">
        <v>152</v>
      </c>
      <c r="S393">
        <v>0.28571428571428598</v>
      </c>
    </row>
    <row r="394" spans="1:19" x14ac:dyDescent="0.3">
      <c r="A394" s="1" t="s">
        <v>776</v>
      </c>
      <c r="B394" s="7">
        <f>MONTH(Clean_Sales[[#This Row],[Order_Date]])</f>
        <v>1</v>
      </c>
      <c r="C394" s="6">
        <v>46038</v>
      </c>
      <c r="D394" s="1" t="s">
        <v>216</v>
      </c>
      <c r="E394" s="1" t="s">
        <v>28</v>
      </c>
      <c r="F394" s="1" t="s">
        <v>72</v>
      </c>
      <c r="G394" s="1" t="s">
        <v>73</v>
      </c>
      <c r="H394" s="1" t="s">
        <v>74</v>
      </c>
      <c r="I394">
        <v>2</v>
      </c>
      <c r="J394">
        <v>65</v>
      </c>
      <c r="K394">
        <v>35</v>
      </c>
      <c r="L394">
        <v>0.1</v>
      </c>
      <c r="M394" s="1" t="s">
        <v>46</v>
      </c>
      <c r="N394" s="1" t="s">
        <v>36</v>
      </c>
      <c r="O394">
        <v>35</v>
      </c>
      <c r="P394">
        <v>117</v>
      </c>
      <c r="Q394">
        <v>70</v>
      </c>
      <c r="R394">
        <v>47</v>
      </c>
      <c r="S394">
        <v>0.401709401709402</v>
      </c>
    </row>
    <row r="395" spans="1:19" x14ac:dyDescent="0.3">
      <c r="A395" s="1" t="s">
        <v>777</v>
      </c>
      <c r="B395" s="7">
        <f>MONTH(Clean_Sales[[#This Row],[Order_Date]])</f>
        <v>5</v>
      </c>
      <c r="C395" s="6">
        <v>46153</v>
      </c>
      <c r="D395" s="1" t="s">
        <v>162</v>
      </c>
      <c r="E395" s="1" t="s">
        <v>50</v>
      </c>
      <c r="F395" s="1" t="s">
        <v>64</v>
      </c>
      <c r="G395" s="1" t="s">
        <v>65</v>
      </c>
      <c r="H395" s="1" t="s">
        <v>42</v>
      </c>
      <c r="I395">
        <v>5</v>
      </c>
      <c r="J395">
        <v>360</v>
      </c>
      <c r="K395">
        <v>250</v>
      </c>
      <c r="L395">
        <v>0.1</v>
      </c>
      <c r="M395" s="1" t="s">
        <v>46</v>
      </c>
      <c r="N395" s="1" t="s">
        <v>36</v>
      </c>
      <c r="O395">
        <v>250</v>
      </c>
      <c r="P395">
        <v>1620</v>
      </c>
      <c r="Q395">
        <v>1250</v>
      </c>
      <c r="R395">
        <v>370</v>
      </c>
      <c r="S395">
        <v>0.22839506172839499</v>
      </c>
    </row>
    <row r="396" spans="1:19" x14ac:dyDescent="0.3">
      <c r="A396" s="1" t="s">
        <v>778</v>
      </c>
      <c r="B396" s="7">
        <f>MONTH(Clean_Sales[[#This Row],[Order_Date]])</f>
        <v>2</v>
      </c>
      <c r="C396" s="6">
        <v>46070</v>
      </c>
      <c r="D396" s="1" t="s">
        <v>88</v>
      </c>
      <c r="E396" s="1" t="s">
        <v>28</v>
      </c>
      <c r="F396" s="1" t="s">
        <v>72</v>
      </c>
      <c r="G396" s="1" t="s">
        <v>73</v>
      </c>
      <c r="H396" s="1" t="s">
        <v>74</v>
      </c>
      <c r="I396">
        <v>8</v>
      </c>
      <c r="J396">
        <v>65</v>
      </c>
      <c r="K396">
        <v>35</v>
      </c>
      <c r="L396">
        <v>0</v>
      </c>
      <c r="M396" s="1" t="s">
        <v>23</v>
      </c>
      <c r="N396" s="1" t="s">
        <v>36</v>
      </c>
      <c r="O396">
        <v>35</v>
      </c>
      <c r="P396">
        <v>520</v>
      </c>
      <c r="Q396">
        <v>280</v>
      </c>
      <c r="R396">
        <v>240</v>
      </c>
      <c r="S396">
        <v>0.46153846153846201</v>
      </c>
    </row>
    <row r="397" spans="1:19" x14ac:dyDescent="0.3">
      <c r="A397" s="1" t="s">
        <v>779</v>
      </c>
      <c r="B397" s="7">
        <f>MONTH(Clean_Sales[[#This Row],[Order_Date]])</f>
        <v>6</v>
      </c>
      <c r="C397" s="6">
        <v>46202</v>
      </c>
      <c r="D397" s="1" t="s">
        <v>202</v>
      </c>
      <c r="E397" s="1" t="s">
        <v>124</v>
      </c>
      <c r="F397" s="1" t="s">
        <v>106</v>
      </c>
      <c r="G397" s="1" t="s">
        <v>107</v>
      </c>
      <c r="H397" s="1" t="s">
        <v>31</v>
      </c>
      <c r="I397">
        <v>5</v>
      </c>
      <c r="J397">
        <v>190</v>
      </c>
      <c r="K397">
        <v>115</v>
      </c>
      <c r="L397">
        <v>0.05</v>
      </c>
      <c r="M397" s="1" t="s">
        <v>23</v>
      </c>
      <c r="N397" s="1" t="s">
        <v>36</v>
      </c>
      <c r="O397">
        <v>115</v>
      </c>
      <c r="P397">
        <v>902.5</v>
      </c>
      <c r="Q397">
        <v>575</v>
      </c>
      <c r="R397">
        <v>327.5</v>
      </c>
      <c r="S397">
        <v>0.362880886426593</v>
      </c>
    </row>
    <row r="398" spans="1:19" x14ac:dyDescent="0.3">
      <c r="A398" s="1" t="s">
        <v>780</v>
      </c>
      <c r="B398" s="7">
        <f>MONTH(Clean_Sales[[#This Row],[Order_Date]])</f>
        <v>2</v>
      </c>
      <c r="C398" s="6">
        <v>46081</v>
      </c>
      <c r="D398" s="1" t="s">
        <v>315</v>
      </c>
      <c r="E398" s="1" t="s">
        <v>50</v>
      </c>
      <c r="F398" s="1" t="s">
        <v>29</v>
      </c>
      <c r="G398" s="1" t="s">
        <v>30</v>
      </c>
      <c r="H398" s="1" t="s">
        <v>31</v>
      </c>
      <c r="I398">
        <v>4</v>
      </c>
      <c r="J398">
        <v>280</v>
      </c>
      <c r="K398">
        <v>190</v>
      </c>
      <c r="L398">
        <v>0</v>
      </c>
      <c r="M398" s="1" t="s">
        <v>46</v>
      </c>
      <c r="N398" s="1" t="s">
        <v>36</v>
      </c>
      <c r="O398">
        <v>190</v>
      </c>
      <c r="P398">
        <v>1120</v>
      </c>
      <c r="Q398">
        <v>760</v>
      </c>
      <c r="R398">
        <v>360</v>
      </c>
      <c r="S398">
        <v>0.32142857142857101</v>
      </c>
    </row>
    <row r="399" spans="1:19" x14ac:dyDescent="0.3">
      <c r="A399" s="1" t="s">
        <v>782</v>
      </c>
      <c r="B399" s="7">
        <f>MONTH(Clean_Sales[[#This Row],[Order_Date]])</f>
        <v>6</v>
      </c>
      <c r="C399" s="6">
        <v>46183</v>
      </c>
      <c r="D399" s="1" t="s">
        <v>123</v>
      </c>
      <c r="E399" s="1" t="s">
        <v>28</v>
      </c>
      <c r="F399" s="1" t="s">
        <v>89</v>
      </c>
      <c r="G399" s="1" t="s">
        <v>90</v>
      </c>
      <c r="H399" s="1" t="s">
        <v>74</v>
      </c>
      <c r="I399">
        <v>6</v>
      </c>
      <c r="J399">
        <v>85</v>
      </c>
      <c r="K399">
        <v>48</v>
      </c>
      <c r="L399">
        <v>0</v>
      </c>
      <c r="M399" s="1" t="s">
        <v>23</v>
      </c>
      <c r="N399" s="1" t="s">
        <v>36</v>
      </c>
      <c r="O399">
        <v>48</v>
      </c>
      <c r="P399">
        <v>510</v>
      </c>
      <c r="Q399">
        <v>288</v>
      </c>
      <c r="R399">
        <v>222</v>
      </c>
      <c r="S399">
        <v>0.435294117647059</v>
      </c>
    </row>
    <row r="400" spans="1:19" x14ac:dyDescent="0.3">
      <c r="A400" s="1" t="s">
        <v>783</v>
      </c>
      <c r="B400" s="7">
        <f>MONTH(Clean_Sales[[#This Row],[Order_Date]])</f>
        <v>5</v>
      </c>
      <c r="C400" s="6">
        <v>46148</v>
      </c>
      <c r="D400" s="1" t="s">
        <v>169</v>
      </c>
      <c r="E400" s="1" t="s">
        <v>59</v>
      </c>
      <c r="F400" s="1" t="s">
        <v>29</v>
      </c>
      <c r="G400" s="1" t="s">
        <v>30</v>
      </c>
      <c r="H400" s="1" t="s">
        <v>31</v>
      </c>
      <c r="I400">
        <v>6</v>
      </c>
      <c r="J400">
        <v>280</v>
      </c>
      <c r="K400">
        <v>190</v>
      </c>
      <c r="L400">
        <v>0.05</v>
      </c>
      <c r="M400" s="1" t="s">
        <v>23</v>
      </c>
      <c r="N400" s="1" t="s">
        <v>36</v>
      </c>
      <c r="O400">
        <v>190</v>
      </c>
      <c r="P400">
        <v>1596</v>
      </c>
      <c r="Q400">
        <v>1140</v>
      </c>
      <c r="R400">
        <v>456</v>
      </c>
      <c r="S400">
        <v>0.28571428571428598</v>
      </c>
    </row>
    <row r="401" spans="1:19" x14ac:dyDescent="0.3">
      <c r="A401" s="1" t="s">
        <v>785</v>
      </c>
      <c r="B401" s="7">
        <f>MONTH(Clean_Sales[[#This Row],[Order_Date]])</f>
        <v>3</v>
      </c>
      <c r="C401" s="6">
        <v>46089</v>
      </c>
      <c r="D401" s="1" t="s">
        <v>367</v>
      </c>
      <c r="E401" s="1" t="s">
        <v>982</v>
      </c>
      <c r="F401" s="1" t="s">
        <v>64</v>
      </c>
      <c r="G401" s="1" t="s">
        <v>65</v>
      </c>
      <c r="H401" s="1" t="s">
        <v>42</v>
      </c>
      <c r="I401">
        <v>4</v>
      </c>
      <c r="J401">
        <v>360</v>
      </c>
      <c r="K401">
        <v>250</v>
      </c>
      <c r="L401">
        <v>0.05</v>
      </c>
      <c r="M401" s="1" t="s">
        <v>23</v>
      </c>
      <c r="N401" s="1" t="s">
        <v>36</v>
      </c>
      <c r="O401">
        <v>250</v>
      </c>
      <c r="P401">
        <v>1368</v>
      </c>
      <c r="Q401">
        <v>1000</v>
      </c>
      <c r="R401">
        <v>368</v>
      </c>
      <c r="S401">
        <v>0.26900584795321603</v>
      </c>
    </row>
    <row r="402" spans="1:19" x14ac:dyDescent="0.3">
      <c r="A402" s="1" t="s">
        <v>786</v>
      </c>
      <c r="B402" s="7">
        <f>MONTH(Clean_Sales[[#This Row],[Order_Date]])</f>
        <v>3</v>
      </c>
      <c r="C402" s="6">
        <v>46096</v>
      </c>
      <c r="D402" s="1" t="s">
        <v>216</v>
      </c>
      <c r="E402" s="1" t="s">
        <v>124</v>
      </c>
      <c r="F402" s="1" t="s">
        <v>51</v>
      </c>
      <c r="G402" s="1" t="s">
        <v>52</v>
      </c>
      <c r="H402" s="1" t="s">
        <v>42</v>
      </c>
      <c r="I402">
        <v>6</v>
      </c>
      <c r="J402">
        <v>310</v>
      </c>
      <c r="K402">
        <v>220</v>
      </c>
      <c r="L402">
        <v>0.15</v>
      </c>
      <c r="M402" s="1" t="s">
        <v>23</v>
      </c>
      <c r="N402" s="1" t="s">
        <v>36</v>
      </c>
      <c r="O402">
        <v>220</v>
      </c>
      <c r="P402">
        <v>1581</v>
      </c>
      <c r="Q402">
        <v>1320</v>
      </c>
      <c r="R402">
        <v>261</v>
      </c>
      <c r="S402">
        <v>0.165085388994307</v>
      </c>
    </row>
    <row r="403" spans="1:19" x14ac:dyDescent="0.3">
      <c r="A403" s="1" t="s">
        <v>787</v>
      </c>
      <c r="B403" s="7">
        <f>MONTH(Clean_Sales[[#This Row],[Order_Date]])</f>
        <v>4</v>
      </c>
      <c r="C403" s="6">
        <v>46122</v>
      </c>
      <c r="D403" s="1" t="s">
        <v>345</v>
      </c>
      <c r="E403" s="1" t="s">
        <v>28</v>
      </c>
      <c r="F403" s="1" t="s">
        <v>72</v>
      </c>
      <c r="G403" s="1" t="s">
        <v>73</v>
      </c>
      <c r="H403" s="1" t="s">
        <v>74</v>
      </c>
      <c r="I403">
        <v>3</v>
      </c>
      <c r="J403">
        <v>65</v>
      </c>
      <c r="K403">
        <v>35</v>
      </c>
      <c r="L403">
        <v>0</v>
      </c>
      <c r="M403" s="1" t="s">
        <v>23</v>
      </c>
      <c r="N403" s="1" t="s">
        <v>36</v>
      </c>
      <c r="O403">
        <v>35</v>
      </c>
      <c r="P403">
        <v>195</v>
      </c>
      <c r="Q403">
        <v>105</v>
      </c>
      <c r="R403">
        <v>90</v>
      </c>
      <c r="S403">
        <v>0.46153846153846201</v>
      </c>
    </row>
    <row r="404" spans="1:19" x14ac:dyDescent="0.3">
      <c r="A404" s="1" t="s">
        <v>789</v>
      </c>
      <c r="B404" s="7">
        <f>MONTH(Clean_Sales[[#This Row],[Order_Date]])</f>
        <v>1</v>
      </c>
      <c r="C404" s="6">
        <v>46053</v>
      </c>
      <c r="D404" s="1" t="s">
        <v>273</v>
      </c>
      <c r="E404" s="1" t="s">
        <v>124</v>
      </c>
      <c r="F404" s="1" t="s">
        <v>51</v>
      </c>
      <c r="G404" s="1" t="s">
        <v>52</v>
      </c>
      <c r="H404" s="1" t="s">
        <v>42</v>
      </c>
      <c r="I404">
        <v>7</v>
      </c>
      <c r="J404">
        <v>310</v>
      </c>
      <c r="K404">
        <v>220</v>
      </c>
      <c r="L404">
        <v>0.1</v>
      </c>
      <c r="M404" s="1" t="s">
        <v>46</v>
      </c>
      <c r="N404" s="1" t="s">
        <v>36</v>
      </c>
      <c r="O404">
        <v>220</v>
      </c>
      <c r="P404">
        <v>1953</v>
      </c>
      <c r="Q404">
        <v>1540</v>
      </c>
      <c r="R404">
        <v>413</v>
      </c>
      <c r="S404">
        <v>0.21146953405017899</v>
      </c>
    </row>
    <row r="405" spans="1:19" x14ac:dyDescent="0.3">
      <c r="A405" s="1" t="s">
        <v>790</v>
      </c>
      <c r="B405" s="7">
        <f>MONTH(Clean_Sales[[#This Row],[Order_Date]])</f>
        <v>5</v>
      </c>
      <c r="C405" s="6">
        <v>46158</v>
      </c>
      <c r="D405" s="1" t="s">
        <v>99</v>
      </c>
      <c r="E405" s="1" t="s">
        <v>59</v>
      </c>
      <c r="F405" s="1" t="s">
        <v>40</v>
      </c>
      <c r="G405" s="1" t="s">
        <v>41</v>
      </c>
      <c r="H405" s="1" t="s">
        <v>42</v>
      </c>
      <c r="I405">
        <v>3</v>
      </c>
      <c r="J405">
        <v>1250</v>
      </c>
      <c r="K405">
        <v>940</v>
      </c>
      <c r="L405">
        <v>0.1</v>
      </c>
      <c r="M405" s="1" t="s">
        <v>23</v>
      </c>
      <c r="N405" s="1" t="s">
        <v>36</v>
      </c>
      <c r="O405">
        <v>940</v>
      </c>
      <c r="P405">
        <v>3375</v>
      </c>
      <c r="Q405">
        <v>2820</v>
      </c>
      <c r="R405">
        <v>555</v>
      </c>
      <c r="S405">
        <v>0.164444444444444</v>
      </c>
    </row>
    <row r="406" spans="1:19" x14ac:dyDescent="0.3">
      <c r="A406" s="1" t="s">
        <v>793</v>
      </c>
      <c r="B406" s="7">
        <f>MONTH(Clean_Sales[[#This Row],[Order_Date]])</f>
        <v>3</v>
      </c>
      <c r="C406" s="6">
        <v>46096</v>
      </c>
      <c r="D406" s="1" t="s">
        <v>289</v>
      </c>
      <c r="E406" s="1" t="s">
        <v>28</v>
      </c>
      <c r="F406" s="1" t="s">
        <v>89</v>
      </c>
      <c r="G406" s="1" t="s">
        <v>90</v>
      </c>
      <c r="H406" s="1" t="s">
        <v>74</v>
      </c>
      <c r="I406">
        <v>8</v>
      </c>
      <c r="J406">
        <v>85</v>
      </c>
      <c r="K406">
        <v>48</v>
      </c>
      <c r="L406">
        <v>0</v>
      </c>
      <c r="M406" s="1" t="s">
        <v>23</v>
      </c>
      <c r="N406" s="1" t="s">
        <v>36</v>
      </c>
      <c r="O406">
        <v>48</v>
      </c>
      <c r="P406">
        <v>680</v>
      </c>
      <c r="Q406">
        <v>384</v>
      </c>
      <c r="R406">
        <v>296</v>
      </c>
      <c r="S406">
        <v>0.435294117647059</v>
      </c>
    </row>
    <row r="407" spans="1:19" x14ac:dyDescent="0.3">
      <c r="A407" s="1" t="s">
        <v>794</v>
      </c>
      <c r="B407" s="7">
        <f>MONTH(Clean_Sales[[#This Row],[Order_Date]])</f>
        <v>6</v>
      </c>
      <c r="C407" s="6">
        <v>46180</v>
      </c>
      <c r="D407" s="1" t="s">
        <v>308</v>
      </c>
      <c r="E407" s="1" t="s">
        <v>59</v>
      </c>
      <c r="F407" s="1" t="s">
        <v>51</v>
      </c>
      <c r="G407" s="1" t="s">
        <v>52</v>
      </c>
      <c r="H407" s="1" t="s">
        <v>42</v>
      </c>
      <c r="I407">
        <v>1</v>
      </c>
      <c r="J407">
        <v>310</v>
      </c>
      <c r="K407">
        <v>220</v>
      </c>
      <c r="L407">
        <v>0.1</v>
      </c>
      <c r="M407" s="1" t="s">
        <v>23</v>
      </c>
      <c r="N407" s="1" t="s">
        <v>36</v>
      </c>
      <c r="O407">
        <v>220</v>
      </c>
      <c r="P407">
        <v>279</v>
      </c>
      <c r="Q407">
        <v>220</v>
      </c>
      <c r="R407">
        <v>59</v>
      </c>
      <c r="S407">
        <v>0.21146953405017899</v>
      </c>
    </row>
    <row r="408" spans="1:19" x14ac:dyDescent="0.3">
      <c r="A408" s="1" t="s">
        <v>795</v>
      </c>
      <c r="B408" s="7">
        <f>MONTH(Clean_Sales[[#This Row],[Order_Date]])</f>
        <v>2</v>
      </c>
      <c r="C408" s="6">
        <v>46063</v>
      </c>
      <c r="D408" s="1" t="s">
        <v>410</v>
      </c>
      <c r="E408" s="1" t="s">
        <v>124</v>
      </c>
      <c r="F408" s="1" t="s">
        <v>51</v>
      </c>
      <c r="G408" s="1" t="s">
        <v>52</v>
      </c>
      <c r="H408" s="1" t="s">
        <v>42</v>
      </c>
      <c r="I408">
        <v>6</v>
      </c>
      <c r="J408">
        <v>310</v>
      </c>
      <c r="K408">
        <v>220</v>
      </c>
      <c r="L408">
        <v>0.05</v>
      </c>
      <c r="M408" s="1" t="s">
        <v>23</v>
      </c>
      <c r="N408" s="1" t="s">
        <v>36</v>
      </c>
      <c r="O408">
        <v>220</v>
      </c>
      <c r="P408">
        <v>1767</v>
      </c>
      <c r="Q408">
        <v>1320</v>
      </c>
      <c r="R408">
        <v>447</v>
      </c>
      <c r="S408">
        <v>0.25297113752122202</v>
      </c>
    </row>
    <row r="409" spans="1:19" x14ac:dyDescent="0.3">
      <c r="A409" s="1" t="s">
        <v>796</v>
      </c>
      <c r="B409" s="7">
        <f>MONTH(Clean_Sales[[#This Row],[Order_Date]])</f>
        <v>1</v>
      </c>
      <c r="C409" s="6">
        <v>46023</v>
      </c>
      <c r="D409" s="1" t="s">
        <v>273</v>
      </c>
      <c r="E409" s="1" t="s">
        <v>50</v>
      </c>
      <c r="F409" s="1" t="s">
        <v>64</v>
      </c>
      <c r="G409" s="1" t="s">
        <v>65</v>
      </c>
      <c r="H409" s="1" t="s">
        <v>42</v>
      </c>
      <c r="I409">
        <v>5</v>
      </c>
      <c r="J409">
        <v>360</v>
      </c>
      <c r="K409">
        <v>250</v>
      </c>
      <c r="L409">
        <v>0.15</v>
      </c>
      <c r="M409" s="1" t="s">
        <v>46</v>
      </c>
      <c r="N409" s="1" t="s">
        <v>36</v>
      </c>
      <c r="O409">
        <v>250</v>
      </c>
      <c r="P409">
        <v>1530</v>
      </c>
      <c r="Q409">
        <v>1250</v>
      </c>
      <c r="R409">
        <v>280</v>
      </c>
      <c r="S409">
        <v>0.18300653594771199</v>
      </c>
    </row>
    <row r="410" spans="1:19" x14ac:dyDescent="0.3">
      <c r="A410" s="1" t="s">
        <v>797</v>
      </c>
      <c r="B410" s="7">
        <f>MONTH(Clean_Sales[[#This Row],[Order_Date]])</f>
        <v>6</v>
      </c>
      <c r="C410" s="6">
        <v>46184</v>
      </c>
      <c r="D410" s="1" t="s">
        <v>232</v>
      </c>
      <c r="E410" s="1" t="s">
        <v>124</v>
      </c>
      <c r="F410" s="1" t="s">
        <v>106</v>
      </c>
      <c r="G410" s="1" t="s">
        <v>107</v>
      </c>
      <c r="H410" s="1" t="s">
        <v>31</v>
      </c>
      <c r="I410">
        <v>4</v>
      </c>
      <c r="J410">
        <v>190</v>
      </c>
      <c r="K410">
        <v>115</v>
      </c>
      <c r="L410">
        <v>0.15</v>
      </c>
      <c r="M410" s="1" t="s">
        <v>46</v>
      </c>
      <c r="N410" s="1" t="s">
        <v>36</v>
      </c>
      <c r="O410">
        <v>115</v>
      </c>
      <c r="P410">
        <v>646</v>
      </c>
      <c r="Q410">
        <v>460</v>
      </c>
      <c r="R410">
        <v>186</v>
      </c>
      <c r="S410">
        <v>0.28792569659442702</v>
      </c>
    </row>
    <row r="411" spans="1:19" x14ac:dyDescent="0.3">
      <c r="A411" s="1" t="s">
        <v>798</v>
      </c>
      <c r="B411" s="7">
        <f>MONTH(Clean_Sales[[#This Row],[Order_Date]])</f>
        <v>5</v>
      </c>
      <c r="C411" s="6">
        <v>46151</v>
      </c>
      <c r="D411" s="1" t="s">
        <v>579</v>
      </c>
      <c r="E411" s="1" t="s">
        <v>124</v>
      </c>
      <c r="F411" s="1" t="s">
        <v>89</v>
      </c>
      <c r="G411" s="1" t="s">
        <v>90</v>
      </c>
      <c r="H411" s="1" t="s">
        <v>74</v>
      </c>
      <c r="I411">
        <v>3</v>
      </c>
      <c r="J411">
        <v>85</v>
      </c>
      <c r="K411">
        <v>48</v>
      </c>
      <c r="L411">
        <v>0.1</v>
      </c>
      <c r="M411" s="1" t="s">
        <v>23</v>
      </c>
      <c r="N411" s="1" t="s">
        <v>36</v>
      </c>
      <c r="O411">
        <v>48</v>
      </c>
      <c r="P411">
        <v>229.5</v>
      </c>
      <c r="Q411">
        <v>144</v>
      </c>
      <c r="R411">
        <v>85.5</v>
      </c>
      <c r="S411">
        <v>0.37254901960784298</v>
      </c>
    </row>
    <row r="412" spans="1:19" x14ac:dyDescent="0.3">
      <c r="A412" s="1" t="s">
        <v>799</v>
      </c>
      <c r="B412" s="7">
        <f>MONTH(Clean_Sales[[#This Row],[Order_Date]])</f>
        <v>3</v>
      </c>
      <c r="C412" s="6">
        <v>46099</v>
      </c>
      <c r="D412" s="1" t="s">
        <v>495</v>
      </c>
      <c r="E412" s="1" t="s">
        <v>50</v>
      </c>
      <c r="F412" s="1" t="s">
        <v>72</v>
      </c>
      <c r="G412" s="1" t="s">
        <v>73</v>
      </c>
      <c r="H412" s="1" t="s">
        <v>74</v>
      </c>
      <c r="I412">
        <v>7</v>
      </c>
      <c r="J412">
        <v>65</v>
      </c>
      <c r="K412">
        <v>35</v>
      </c>
      <c r="L412">
        <v>0.05</v>
      </c>
      <c r="M412" s="1" t="s">
        <v>46</v>
      </c>
      <c r="N412" s="1" t="s">
        <v>36</v>
      </c>
      <c r="O412">
        <v>35</v>
      </c>
      <c r="P412">
        <v>432.25</v>
      </c>
      <c r="Q412">
        <v>245</v>
      </c>
      <c r="R412">
        <v>187.25</v>
      </c>
      <c r="S412">
        <v>0.43319838056680199</v>
      </c>
    </row>
    <row r="413" spans="1:19" x14ac:dyDescent="0.3">
      <c r="A413" s="1" t="s">
        <v>800</v>
      </c>
      <c r="B413" s="7">
        <f>MONTH(Clean_Sales[[#This Row],[Order_Date]])</f>
        <v>2</v>
      </c>
      <c r="C413" s="6">
        <v>46071</v>
      </c>
      <c r="D413" s="1" t="s">
        <v>345</v>
      </c>
      <c r="E413" s="1" t="s">
        <v>28</v>
      </c>
      <c r="F413" s="1" t="s">
        <v>17</v>
      </c>
      <c r="G413" s="1" t="s">
        <v>18</v>
      </c>
      <c r="H413" s="1" t="s">
        <v>74</v>
      </c>
      <c r="I413">
        <v>8</v>
      </c>
      <c r="J413">
        <v>25</v>
      </c>
      <c r="K413">
        <v>12</v>
      </c>
      <c r="L413">
        <v>0</v>
      </c>
      <c r="M413" s="1" t="s">
        <v>46</v>
      </c>
      <c r="N413" s="1" t="s">
        <v>36</v>
      </c>
      <c r="O413">
        <v>12</v>
      </c>
      <c r="P413">
        <v>200</v>
      </c>
      <c r="Q413">
        <v>96</v>
      </c>
      <c r="R413">
        <v>104</v>
      </c>
      <c r="S413">
        <v>0.52</v>
      </c>
    </row>
    <row r="414" spans="1:19" x14ac:dyDescent="0.3">
      <c r="A414" s="1" t="s">
        <v>802</v>
      </c>
      <c r="B414" s="7">
        <f>MONTH(Clean_Sales[[#This Row],[Order_Date]])</f>
        <v>6</v>
      </c>
      <c r="C414" s="6">
        <v>46181</v>
      </c>
      <c r="D414" s="1" t="s">
        <v>331</v>
      </c>
      <c r="E414" s="1" t="s">
        <v>28</v>
      </c>
      <c r="F414" s="1" t="s">
        <v>89</v>
      </c>
      <c r="G414" s="1" t="s">
        <v>90</v>
      </c>
      <c r="H414" s="1" t="s">
        <v>74</v>
      </c>
      <c r="I414">
        <v>8</v>
      </c>
      <c r="J414">
        <v>85</v>
      </c>
      <c r="K414">
        <v>48</v>
      </c>
      <c r="L414">
        <v>0.15</v>
      </c>
      <c r="M414" s="1" t="s">
        <v>23</v>
      </c>
      <c r="N414" s="1" t="s">
        <v>36</v>
      </c>
      <c r="O414">
        <v>48</v>
      </c>
      <c r="P414">
        <v>578</v>
      </c>
      <c r="Q414">
        <v>384</v>
      </c>
      <c r="R414">
        <v>194</v>
      </c>
      <c r="S414">
        <v>0.33564013840830398</v>
      </c>
    </row>
    <row r="415" spans="1:19" x14ac:dyDescent="0.3">
      <c r="A415" s="1" t="s">
        <v>803</v>
      </c>
      <c r="B415" s="7">
        <f>MONTH(Clean_Sales[[#This Row],[Order_Date]])</f>
        <v>4</v>
      </c>
      <c r="C415" s="6">
        <v>46118</v>
      </c>
      <c r="D415" s="1" t="s">
        <v>216</v>
      </c>
      <c r="E415" s="1" t="s">
        <v>28</v>
      </c>
      <c r="F415" s="1" t="s">
        <v>89</v>
      </c>
      <c r="G415" s="1" t="s">
        <v>90</v>
      </c>
      <c r="H415" s="1" t="s">
        <v>74</v>
      </c>
      <c r="I415">
        <v>4</v>
      </c>
      <c r="J415">
        <v>85</v>
      </c>
      <c r="K415">
        <v>48</v>
      </c>
      <c r="L415">
        <v>0.1</v>
      </c>
      <c r="M415" s="1" t="s">
        <v>23</v>
      </c>
      <c r="N415" s="1" t="s">
        <v>36</v>
      </c>
      <c r="O415">
        <v>48</v>
      </c>
      <c r="P415">
        <v>306</v>
      </c>
      <c r="Q415">
        <v>192</v>
      </c>
      <c r="R415">
        <v>114</v>
      </c>
      <c r="S415">
        <v>0.37254901960784298</v>
      </c>
    </row>
    <row r="416" spans="1:19" x14ac:dyDescent="0.3">
      <c r="A416" s="1" t="s">
        <v>804</v>
      </c>
      <c r="B416" s="7">
        <f>MONTH(Clean_Sales[[#This Row],[Order_Date]])</f>
        <v>3</v>
      </c>
      <c r="C416" s="6">
        <v>46097</v>
      </c>
      <c r="D416" s="1" t="s">
        <v>271</v>
      </c>
      <c r="E416" s="1" t="s">
        <v>28</v>
      </c>
      <c r="F416" s="1" t="s">
        <v>64</v>
      </c>
      <c r="G416" s="1" t="s">
        <v>65</v>
      </c>
      <c r="H416" s="1" t="s">
        <v>42</v>
      </c>
      <c r="I416">
        <v>8</v>
      </c>
      <c r="J416">
        <v>360</v>
      </c>
      <c r="K416">
        <v>250</v>
      </c>
      <c r="L416">
        <v>0.1</v>
      </c>
      <c r="M416" s="1" t="s">
        <v>23</v>
      </c>
      <c r="N416" s="1" t="s">
        <v>36</v>
      </c>
      <c r="O416">
        <v>250</v>
      </c>
      <c r="P416">
        <v>2592</v>
      </c>
      <c r="Q416">
        <v>2000</v>
      </c>
      <c r="R416">
        <v>592</v>
      </c>
      <c r="S416">
        <v>0.22839506172839499</v>
      </c>
    </row>
    <row r="417" spans="1:19" x14ac:dyDescent="0.3">
      <c r="A417" s="1" t="s">
        <v>805</v>
      </c>
      <c r="B417" s="7">
        <f>MONTH(Clean_Sales[[#This Row],[Order_Date]])</f>
        <v>6</v>
      </c>
      <c r="C417" s="6">
        <v>46200</v>
      </c>
      <c r="D417" s="1" t="s">
        <v>263</v>
      </c>
      <c r="E417" s="1" t="s">
        <v>50</v>
      </c>
      <c r="F417" s="1" t="s">
        <v>51</v>
      </c>
      <c r="G417" s="1" t="s">
        <v>52</v>
      </c>
      <c r="H417" s="1" t="s">
        <v>42</v>
      </c>
      <c r="I417">
        <v>2</v>
      </c>
      <c r="J417">
        <v>310</v>
      </c>
      <c r="K417">
        <v>220</v>
      </c>
      <c r="L417">
        <v>0</v>
      </c>
      <c r="M417" s="1" t="s">
        <v>23</v>
      </c>
      <c r="N417" s="1" t="s">
        <v>36</v>
      </c>
      <c r="O417">
        <v>220</v>
      </c>
      <c r="P417">
        <v>620</v>
      </c>
      <c r="Q417">
        <v>440</v>
      </c>
      <c r="R417">
        <v>180</v>
      </c>
      <c r="S417">
        <v>0.29032258064516098</v>
      </c>
    </row>
    <row r="418" spans="1:19" x14ac:dyDescent="0.3">
      <c r="A418" s="1" t="s">
        <v>807</v>
      </c>
      <c r="B418" s="7">
        <f>MONTH(Clean_Sales[[#This Row],[Order_Date]])</f>
        <v>3</v>
      </c>
      <c r="C418" s="6">
        <v>46090</v>
      </c>
      <c r="D418" s="1" t="s">
        <v>145</v>
      </c>
      <c r="E418" s="1" t="s">
        <v>59</v>
      </c>
      <c r="F418" s="1" t="s">
        <v>64</v>
      </c>
      <c r="G418" s="1" t="s">
        <v>65</v>
      </c>
      <c r="H418" s="1" t="s">
        <v>42</v>
      </c>
      <c r="I418">
        <v>1</v>
      </c>
      <c r="J418">
        <v>360</v>
      </c>
      <c r="L418">
        <v>0.15</v>
      </c>
      <c r="M418" s="1" t="s">
        <v>46</v>
      </c>
      <c r="N418" s="1" t="s">
        <v>36</v>
      </c>
      <c r="O418">
        <v>250</v>
      </c>
      <c r="P418">
        <v>306</v>
      </c>
      <c r="Q418">
        <v>250</v>
      </c>
      <c r="R418">
        <v>56</v>
      </c>
      <c r="S418">
        <v>0.18300653594771199</v>
      </c>
    </row>
    <row r="419" spans="1:19" x14ac:dyDescent="0.3">
      <c r="A419" s="1" t="s">
        <v>808</v>
      </c>
      <c r="B419" s="7">
        <f>MONTH(Clean_Sales[[#This Row],[Order_Date]])</f>
        <v>6</v>
      </c>
      <c r="C419" s="6">
        <v>46174</v>
      </c>
      <c r="D419" s="1" t="s">
        <v>325</v>
      </c>
      <c r="E419" s="1" t="s">
        <v>50</v>
      </c>
      <c r="F419" s="1" t="s">
        <v>40</v>
      </c>
      <c r="G419" s="1" t="s">
        <v>41</v>
      </c>
      <c r="H419" s="1" t="s">
        <v>42</v>
      </c>
      <c r="I419">
        <v>7</v>
      </c>
      <c r="J419">
        <v>1250</v>
      </c>
      <c r="K419">
        <v>940</v>
      </c>
      <c r="L419">
        <v>0.05</v>
      </c>
      <c r="M419" s="1" t="s">
        <v>46</v>
      </c>
      <c r="N419" s="1" t="s">
        <v>36</v>
      </c>
      <c r="O419">
        <v>940</v>
      </c>
      <c r="P419">
        <v>8312.5</v>
      </c>
      <c r="Q419">
        <v>6580</v>
      </c>
      <c r="R419">
        <v>1732.5</v>
      </c>
      <c r="S419">
        <v>0.20842105263157901</v>
      </c>
    </row>
    <row r="420" spans="1:19" x14ac:dyDescent="0.3">
      <c r="A420" s="1" t="s">
        <v>809</v>
      </c>
      <c r="B420" s="7">
        <f>MONTH(Clean_Sales[[#This Row],[Order_Date]])</f>
        <v>3</v>
      </c>
      <c r="C420" s="6">
        <v>46082</v>
      </c>
      <c r="D420" s="1" t="s">
        <v>671</v>
      </c>
      <c r="E420" s="1" t="s">
        <v>124</v>
      </c>
      <c r="F420" s="1" t="s">
        <v>29</v>
      </c>
      <c r="G420" s="1" t="s">
        <v>30</v>
      </c>
      <c r="H420" s="1" t="s">
        <v>31</v>
      </c>
      <c r="I420">
        <v>4</v>
      </c>
      <c r="J420">
        <v>280</v>
      </c>
      <c r="K420">
        <v>190</v>
      </c>
      <c r="L420">
        <v>0.15</v>
      </c>
      <c r="M420" s="1" t="s">
        <v>23</v>
      </c>
      <c r="N420" s="1" t="s">
        <v>36</v>
      </c>
      <c r="O420">
        <v>190</v>
      </c>
      <c r="P420">
        <v>952</v>
      </c>
      <c r="Q420">
        <v>760</v>
      </c>
      <c r="R420">
        <v>192</v>
      </c>
      <c r="S420">
        <v>0.20168067226890801</v>
      </c>
    </row>
    <row r="421" spans="1:19" x14ac:dyDescent="0.3">
      <c r="A421" s="1" t="s">
        <v>811</v>
      </c>
      <c r="B421" s="7">
        <f>MONTH(Clean_Sales[[#This Row],[Order_Date]])</f>
        <v>1</v>
      </c>
      <c r="C421" s="6">
        <v>46033</v>
      </c>
      <c r="D421" s="1" t="s">
        <v>295</v>
      </c>
      <c r="E421" s="1" t="s">
        <v>28</v>
      </c>
      <c r="F421" s="1" t="s">
        <v>51</v>
      </c>
      <c r="G421" s="1" t="s">
        <v>52</v>
      </c>
      <c r="H421" s="1" t="s">
        <v>42</v>
      </c>
      <c r="I421">
        <v>8</v>
      </c>
      <c r="J421">
        <v>310</v>
      </c>
      <c r="K421">
        <v>220</v>
      </c>
      <c r="L421">
        <v>0.15</v>
      </c>
      <c r="M421" s="1" t="s">
        <v>46</v>
      </c>
      <c r="N421" s="1" t="s">
        <v>36</v>
      </c>
      <c r="O421">
        <v>220</v>
      </c>
      <c r="P421">
        <v>2108</v>
      </c>
      <c r="Q421">
        <v>1760</v>
      </c>
      <c r="R421">
        <v>348</v>
      </c>
      <c r="S421">
        <v>0.165085388994307</v>
      </c>
    </row>
    <row r="422" spans="1:19" x14ac:dyDescent="0.3">
      <c r="A422" s="1" t="s">
        <v>812</v>
      </c>
      <c r="B422" s="7">
        <f>MONTH(Clean_Sales[[#This Row],[Order_Date]])</f>
        <v>1</v>
      </c>
      <c r="C422" s="6">
        <v>46052</v>
      </c>
      <c r="D422" s="1" t="s">
        <v>211</v>
      </c>
      <c r="E422" s="1" t="s">
        <v>28</v>
      </c>
      <c r="F422" s="1" t="s">
        <v>64</v>
      </c>
      <c r="G422" s="1" t="s">
        <v>65</v>
      </c>
      <c r="H422" s="1" t="s">
        <v>42</v>
      </c>
      <c r="I422">
        <v>6</v>
      </c>
      <c r="J422">
        <v>360</v>
      </c>
      <c r="K422">
        <v>250</v>
      </c>
      <c r="L422">
        <v>0.05</v>
      </c>
      <c r="M422" s="1" t="s">
        <v>23</v>
      </c>
      <c r="N422" s="1" t="s">
        <v>36</v>
      </c>
      <c r="O422">
        <v>250</v>
      </c>
      <c r="P422">
        <v>2052</v>
      </c>
      <c r="Q422">
        <v>1500</v>
      </c>
      <c r="R422">
        <v>552</v>
      </c>
      <c r="S422">
        <v>0.26900584795321603</v>
      </c>
    </row>
    <row r="423" spans="1:19" x14ac:dyDescent="0.3">
      <c r="A423" s="1" t="s">
        <v>813</v>
      </c>
      <c r="B423" s="7">
        <f>MONTH(Clean_Sales[[#This Row],[Order_Date]])</f>
        <v>3</v>
      </c>
      <c r="C423" s="6">
        <v>46101</v>
      </c>
      <c r="D423" s="1" t="s">
        <v>96</v>
      </c>
      <c r="E423" s="1" t="s">
        <v>28</v>
      </c>
      <c r="F423" s="1" t="s">
        <v>17</v>
      </c>
      <c r="G423" s="1" t="s">
        <v>18</v>
      </c>
      <c r="H423" s="1" t="s">
        <v>74</v>
      </c>
      <c r="I423">
        <v>1</v>
      </c>
      <c r="J423">
        <v>25</v>
      </c>
      <c r="K423">
        <v>12</v>
      </c>
      <c r="L423">
        <v>0.1</v>
      </c>
      <c r="M423" s="1" t="s">
        <v>46</v>
      </c>
      <c r="N423" s="1" t="s">
        <v>36</v>
      </c>
      <c r="O423">
        <v>12</v>
      </c>
      <c r="P423">
        <v>22.5</v>
      </c>
      <c r="Q423">
        <v>12</v>
      </c>
      <c r="R423">
        <v>10.5</v>
      </c>
      <c r="S423">
        <v>0.46666666666666701</v>
      </c>
    </row>
    <row r="424" spans="1:19" x14ac:dyDescent="0.3">
      <c r="A424" s="1" t="s">
        <v>814</v>
      </c>
      <c r="B424" s="7">
        <f>MONTH(Clean_Sales[[#This Row],[Order_Date]])</f>
        <v>1</v>
      </c>
      <c r="C424" s="6">
        <v>46040</v>
      </c>
      <c r="D424" s="1" t="s">
        <v>140</v>
      </c>
      <c r="E424" s="1" t="s">
        <v>59</v>
      </c>
      <c r="F424" s="1" t="s">
        <v>51</v>
      </c>
      <c r="G424" s="1" t="s">
        <v>52</v>
      </c>
      <c r="H424" s="1" t="s">
        <v>42</v>
      </c>
      <c r="I424">
        <v>7</v>
      </c>
      <c r="J424">
        <v>310</v>
      </c>
      <c r="K424">
        <v>220</v>
      </c>
      <c r="L424">
        <v>0.15</v>
      </c>
      <c r="M424" s="1" t="s">
        <v>23</v>
      </c>
      <c r="N424" s="1" t="s">
        <v>36</v>
      </c>
      <c r="O424">
        <v>220</v>
      </c>
      <c r="P424">
        <v>1844.5</v>
      </c>
      <c r="Q424">
        <v>1540</v>
      </c>
      <c r="R424">
        <v>304.5</v>
      </c>
      <c r="S424">
        <v>0.165085388994307</v>
      </c>
    </row>
    <row r="425" spans="1:19" x14ac:dyDescent="0.3">
      <c r="A425" s="1" t="s">
        <v>815</v>
      </c>
      <c r="B425" s="7">
        <f>MONTH(Clean_Sales[[#This Row],[Order_Date]])</f>
        <v>4</v>
      </c>
      <c r="C425" s="6">
        <v>46141</v>
      </c>
      <c r="D425" s="1" t="s">
        <v>293</v>
      </c>
      <c r="E425" s="1" t="s">
        <v>59</v>
      </c>
      <c r="F425" s="1" t="s">
        <v>40</v>
      </c>
      <c r="G425" s="1" t="s">
        <v>41</v>
      </c>
      <c r="H425" s="1" t="s">
        <v>42</v>
      </c>
      <c r="I425">
        <v>8</v>
      </c>
      <c r="J425">
        <v>1250</v>
      </c>
      <c r="K425">
        <v>940</v>
      </c>
      <c r="L425">
        <v>0.05</v>
      </c>
      <c r="M425" s="1" t="s">
        <v>23</v>
      </c>
      <c r="N425" s="1" t="s">
        <v>36</v>
      </c>
      <c r="O425">
        <v>940</v>
      </c>
      <c r="P425">
        <v>9500</v>
      </c>
      <c r="Q425">
        <v>7520</v>
      </c>
      <c r="R425">
        <v>1980</v>
      </c>
      <c r="S425">
        <v>0.20842105263157901</v>
      </c>
    </row>
    <row r="426" spans="1:19" x14ac:dyDescent="0.3">
      <c r="A426" s="1" t="s">
        <v>816</v>
      </c>
      <c r="B426" s="7">
        <f>MONTH(Clean_Sales[[#This Row],[Order_Date]])</f>
        <v>5</v>
      </c>
      <c r="C426" s="6">
        <v>46166</v>
      </c>
      <c r="D426" s="1" t="s">
        <v>446</v>
      </c>
      <c r="E426" s="1" t="s">
        <v>50</v>
      </c>
      <c r="F426" s="1" t="s">
        <v>40</v>
      </c>
      <c r="G426" s="1" t="s">
        <v>41</v>
      </c>
      <c r="H426" s="1" t="s">
        <v>42</v>
      </c>
      <c r="I426">
        <v>4</v>
      </c>
      <c r="J426">
        <v>1250</v>
      </c>
      <c r="K426">
        <v>940</v>
      </c>
      <c r="L426">
        <v>0.15</v>
      </c>
      <c r="M426" s="1" t="s">
        <v>23</v>
      </c>
      <c r="N426" s="1" t="s">
        <v>36</v>
      </c>
      <c r="O426">
        <v>940</v>
      </c>
      <c r="P426">
        <v>4250</v>
      </c>
      <c r="Q426">
        <v>3760</v>
      </c>
      <c r="R426">
        <v>490</v>
      </c>
      <c r="S426">
        <v>0.11529411764705901</v>
      </c>
    </row>
    <row r="427" spans="1:19" x14ac:dyDescent="0.3">
      <c r="A427" s="1" t="s">
        <v>817</v>
      </c>
      <c r="B427" s="7">
        <f>MONTH(Clean_Sales[[#This Row],[Order_Date]])</f>
        <v>3</v>
      </c>
      <c r="C427" s="6">
        <v>46087</v>
      </c>
      <c r="D427" s="1" t="s">
        <v>88</v>
      </c>
      <c r="E427" s="1" t="s">
        <v>59</v>
      </c>
      <c r="F427" s="1" t="s">
        <v>40</v>
      </c>
      <c r="G427" s="1" t="s">
        <v>41</v>
      </c>
      <c r="H427" s="1" t="s">
        <v>42</v>
      </c>
      <c r="I427">
        <v>8</v>
      </c>
      <c r="J427">
        <v>1250</v>
      </c>
      <c r="K427">
        <v>940</v>
      </c>
      <c r="L427">
        <v>0.05</v>
      </c>
      <c r="M427" s="1" t="s">
        <v>46</v>
      </c>
      <c r="N427" s="1" t="s">
        <v>36</v>
      </c>
      <c r="O427">
        <v>940</v>
      </c>
      <c r="P427">
        <v>9500</v>
      </c>
      <c r="Q427">
        <v>7520</v>
      </c>
      <c r="R427">
        <v>1980</v>
      </c>
      <c r="S427">
        <v>0.20842105263157901</v>
      </c>
    </row>
    <row r="428" spans="1:19" x14ac:dyDescent="0.3">
      <c r="A428" s="1" t="s">
        <v>818</v>
      </c>
      <c r="B428" s="7">
        <f>MONTH(Clean_Sales[[#This Row],[Order_Date]])</f>
        <v>3</v>
      </c>
      <c r="C428" s="6">
        <v>46093</v>
      </c>
      <c r="D428" s="1" t="s">
        <v>132</v>
      </c>
      <c r="E428" s="1" t="s">
        <v>59</v>
      </c>
      <c r="F428" s="1" t="s">
        <v>106</v>
      </c>
      <c r="G428" s="1" t="s">
        <v>107</v>
      </c>
      <c r="H428" s="1" t="s">
        <v>31</v>
      </c>
      <c r="I428">
        <v>7</v>
      </c>
      <c r="J428">
        <v>190</v>
      </c>
      <c r="K428">
        <v>115</v>
      </c>
      <c r="L428">
        <v>0</v>
      </c>
      <c r="M428" s="1" t="s">
        <v>23</v>
      </c>
      <c r="N428" s="1" t="s">
        <v>36</v>
      </c>
      <c r="O428">
        <v>115</v>
      </c>
      <c r="P428">
        <v>1330</v>
      </c>
      <c r="Q428">
        <v>805</v>
      </c>
      <c r="R428">
        <v>525</v>
      </c>
      <c r="S428">
        <v>0.394736842105263</v>
      </c>
    </row>
    <row r="429" spans="1:19" x14ac:dyDescent="0.3">
      <c r="A429" s="1" t="s">
        <v>819</v>
      </c>
      <c r="B429" s="7">
        <f>MONTH(Clean_Sales[[#This Row],[Order_Date]])</f>
        <v>2</v>
      </c>
      <c r="C429" s="6">
        <v>46060</v>
      </c>
      <c r="D429" s="1" t="s">
        <v>575</v>
      </c>
      <c r="E429" s="1" t="s">
        <v>124</v>
      </c>
      <c r="F429" s="1" t="s">
        <v>51</v>
      </c>
      <c r="G429" s="1" t="s">
        <v>52</v>
      </c>
      <c r="H429" s="1" t="s">
        <v>42</v>
      </c>
      <c r="I429">
        <v>6</v>
      </c>
      <c r="J429">
        <v>310</v>
      </c>
      <c r="K429">
        <v>220</v>
      </c>
      <c r="L429">
        <v>0</v>
      </c>
      <c r="M429" s="1" t="s">
        <v>23</v>
      </c>
      <c r="N429" s="1" t="s">
        <v>36</v>
      </c>
      <c r="O429">
        <v>220</v>
      </c>
      <c r="P429">
        <v>1860</v>
      </c>
      <c r="Q429">
        <v>1320</v>
      </c>
      <c r="R429">
        <v>540</v>
      </c>
      <c r="S429">
        <v>0.29032258064516098</v>
      </c>
    </row>
    <row r="430" spans="1:19" x14ac:dyDescent="0.3">
      <c r="A430" s="1" t="s">
        <v>820</v>
      </c>
      <c r="B430" s="7">
        <f>MONTH(Clean_Sales[[#This Row],[Order_Date]])</f>
        <v>4</v>
      </c>
      <c r="C430" s="6">
        <v>46127</v>
      </c>
      <c r="D430" s="1" t="s">
        <v>271</v>
      </c>
      <c r="E430" s="1" t="s">
        <v>28</v>
      </c>
      <c r="F430" s="1" t="s">
        <v>64</v>
      </c>
      <c r="G430" s="1" t="s">
        <v>65</v>
      </c>
      <c r="H430" s="1" t="s">
        <v>42</v>
      </c>
      <c r="I430">
        <v>3</v>
      </c>
      <c r="J430">
        <v>360</v>
      </c>
      <c r="K430">
        <v>250</v>
      </c>
      <c r="L430">
        <v>0.15</v>
      </c>
      <c r="M430" s="1" t="s">
        <v>46</v>
      </c>
      <c r="N430" s="1" t="s">
        <v>36</v>
      </c>
      <c r="O430">
        <v>250</v>
      </c>
      <c r="P430">
        <v>918</v>
      </c>
      <c r="Q430">
        <v>750</v>
      </c>
      <c r="R430">
        <v>168</v>
      </c>
      <c r="S430">
        <v>0.18300653594771199</v>
      </c>
    </row>
    <row r="431" spans="1:19" x14ac:dyDescent="0.3">
      <c r="A431" s="1" t="s">
        <v>822</v>
      </c>
      <c r="B431" s="7">
        <f>MONTH(Clean_Sales[[#This Row],[Order_Date]])</f>
        <v>6</v>
      </c>
      <c r="C431" s="6">
        <v>46192</v>
      </c>
      <c r="D431" s="1" t="s">
        <v>367</v>
      </c>
      <c r="E431" s="1" t="s">
        <v>28</v>
      </c>
      <c r="F431" s="1" t="s">
        <v>106</v>
      </c>
      <c r="G431" s="1" t="s">
        <v>107</v>
      </c>
      <c r="H431" s="1" t="s">
        <v>31</v>
      </c>
      <c r="I431">
        <v>8</v>
      </c>
      <c r="J431">
        <v>190</v>
      </c>
      <c r="K431">
        <v>115</v>
      </c>
      <c r="L431">
        <v>0.1</v>
      </c>
      <c r="M431" s="1" t="s">
        <v>46</v>
      </c>
      <c r="N431" s="1" t="s">
        <v>36</v>
      </c>
      <c r="O431">
        <v>115</v>
      </c>
      <c r="P431">
        <v>1368</v>
      </c>
      <c r="Q431">
        <v>920</v>
      </c>
      <c r="R431">
        <v>448</v>
      </c>
      <c r="S431">
        <v>0.32748538011695899</v>
      </c>
    </row>
    <row r="432" spans="1:19" x14ac:dyDescent="0.3">
      <c r="A432" s="1" t="s">
        <v>823</v>
      </c>
      <c r="B432" s="7">
        <f>MONTH(Clean_Sales[[#This Row],[Order_Date]])</f>
        <v>4</v>
      </c>
      <c r="C432" s="6">
        <v>46141</v>
      </c>
      <c r="D432" s="1" t="s">
        <v>318</v>
      </c>
      <c r="E432" s="1" t="s">
        <v>50</v>
      </c>
      <c r="F432" s="1" t="s">
        <v>51</v>
      </c>
      <c r="G432" s="1" t="s">
        <v>52</v>
      </c>
      <c r="H432" s="1" t="s">
        <v>42</v>
      </c>
      <c r="I432">
        <v>8</v>
      </c>
      <c r="J432">
        <v>310</v>
      </c>
      <c r="K432">
        <v>220</v>
      </c>
      <c r="L432">
        <v>0.15</v>
      </c>
      <c r="M432" s="1" t="s">
        <v>23</v>
      </c>
      <c r="N432" s="1" t="s">
        <v>36</v>
      </c>
      <c r="O432">
        <v>220</v>
      </c>
      <c r="P432">
        <v>2108</v>
      </c>
      <c r="Q432">
        <v>1760</v>
      </c>
      <c r="R432">
        <v>348</v>
      </c>
      <c r="S432">
        <v>0.165085388994307</v>
      </c>
    </row>
    <row r="433" spans="1:19" x14ac:dyDescent="0.3">
      <c r="A433" s="1" t="s">
        <v>824</v>
      </c>
      <c r="B433" s="7">
        <f>MONTH(Clean_Sales[[#This Row],[Order_Date]])</f>
        <v>3</v>
      </c>
      <c r="C433" s="6">
        <v>46098</v>
      </c>
      <c r="D433" s="1" t="s">
        <v>194</v>
      </c>
      <c r="E433" s="1" t="s">
        <v>59</v>
      </c>
      <c r="F433" s="1" t="s">
        <v>64</v>
      </c>
      <c r="G433" s="1" t="s">
        <v>65</v>
      </c>
      <c r="H433" s="1" t="s">
        <v>42</v>
      </c>
      <c r="I433">
        <v>1</v>
      </c>
      <c r="J433">
        <v>360</v>
      </c>
      <c r="K433">
        <v>250</v>
      </c>
      <c r="L433">
        <v>0.05</v>
      </c>
      <c r="M433" s="1" t="s">
        <v>46</v>
      </c>
      <c r="N433" s="1" t="s">
        <v>36</v>
      </c>
      <c r="O433">
        <v>250</v>
      </c>
      <c r="P433">
        <v>342</v>
      </c>
      <c r="Q433">
        <v>250</v>
      </c>
      <c r="R433">
        <v>92</v>
      </c>
      <c r="S433">
        <v>0.26900584795321603</v>
      </c>
    </row>
    <row r="434" spans="1:19" x14ac:dyDescent="0.3">
      <c r="A434" s="1" t="s">
        <v>826</v>
      </c>
      <c r="B434" s="7">
        <f>MONTH(Clean_Sales[[#This Row],[Order_Date]])</f>
        <v>4</v>
      </c>
      <c r="C434" s="6">
        <v>46130</v>
      </c>
      <c r="D434" s="1" t="s">
        <v>185</v>
      </c>
      <c r="E434" s="1" t="s">
        <v>59</v>
      </c>
      <c r="F434" s="1" t="s">
        <v>72</v>
      </c>
      <c r="G434" s="1" t="s">
        <v>73</v>
      </c>
      <c r="H434" s="1" t="s">
        <v>74</v>
      </c>
      <c r="I434">
        <v>3</v>
      </c>
      <c r="J434">
        <v>65</v>
      </c>
      <c r="K434">
        <v>35</v>
      </c>
      <c r="L434">
        <v>0</v>
      </c>
      <c r="M434" s="1" t="s">
        <v>46</v>
      </c>
      <c r="N434" s="1" t="s">
        <v>36</v>
      </c>
      <c r="O434">
        <v>35</v>
      </c>
      <c r="P434">
        <v>195</v>
      </c>
      <c r="Q434">
        <v>105</v>
      </c>
      <c r="R434">
        <v>90</v>
      </c>
      <c r="S434">
        <v>0.46153846153846201</v>
      </c>
    </row>
    <row r="435" spans="1:19" x14ac:dyDescent="0.3">
      <c r="A435" s="1" t="s">
        <v>827</v>
      </c>
      <c r="B435" s="7">
        <f>MONTH(Clean_Sales[[#This Row],[Order_Date]])</f>
        <v>5</v>
      </c>
      <c r="C435" s="6">
        <v>46156</v>
      </c>
      <c r="D435" s="1" t="s">
        <v>96</v>
      </c>
      <c r="E435" s="1" t="s">
        <v>59</v>
      </c>
      <c r="F435" s="1" t="s">
        <v>17</v>
      </c>
      <c r="G435" s="1" t="s">
        <v>18</v>
      </c>
      <c r="H435" s="1" t="s">
        <v>74</v>
      </c>
      <c r="I435">
        <v>2</v>
      </c>
      <c r="J435">
        <v>25</v>
      </c>
      <c r="K435">
        <v>12</v>
      </c>
      <c r="L435">
        <v>0.15</v>
      </c>
      <c r="M435" s="1" t="s">
        <v>46</v>
      </c>
      <c r="N435" s="1" t="s">
        <v>36</v>
      </c>
      <c r="O435">
        <v>12</v>
      </c>
      <c r="P435">
        <v>42.5</v>
      </c>
      <c r="Q435">
        <v>24</v>
      </c>
      <c r="R435">
        <v>18.5</v>
      </c>
      <c r="S435">
        <v>0.435294117647059</v>
      </c>
    </row>
    <row r="436" spans="1:19" x14ac:dyDescent="0.3">
      <c r="A436" s="1" t="s">
        <v>830</v>
      </c>
      <c r="B436" s="7">
        <f>MONTH(Clean_Sales[[#This Row],[Order_Date]])</f>
        <v>2</v>
      </c>
      <c r="C436" s="6">
        <v>46068</v>
      </c>
      <c r="D436" s="1" t="s">
        <v>495</v>
      </c>
      <c r="E436" s="1" t="s">
        <v>50</v>
      </c>
      <c r="F436" s="1" t="s">
        <v>51</v>
      </c>
      <c r="G436" s="1" t="s">
        <v>52</v>
      </c>
      <c r="H436" s="1" t="s">
        <v>42</v>
      </c>
      <c r="I436">
        <v>7</v>
      </c>
      <c r="J436">
        <v>310</v>
      </c>
      <c r="K436">
        <v>220</v>
      </c>
      <c r="L436">
        <v>0.15</v>
      </c>
      <c r="M436" s="1" t="s">
        <v>23</v>
      </c>
      <c r="N436" s="1" t="s">
        <v>36</v>
      </c>
      <c r="O436">
        <v>220</v>
      </c>
      <c r="P436">
        <v>1844.5</v>
      </c>
      <c r="Q436">
        <v>1540</v>
      </c>
      <c r="R436">
        <v>304.5</v>
      </c>
      <c r="S436">
        <v>0.165085388994307</v>
      </c>
    </row>
    <row r="437" spans="1:19" x14ac:dyDescent="0.3">
      <c r="A437" s="1" t="s">
        <v>832</v>
      </c>
      <c r="B437" s="7">
        <f>MONTH(Clean_Sales[[#This Row],[Order_Date]])</f>
        <v>4</v>
      </c>
      <c r="C437" s="6">
        <v>46136</v>
      </c>
      <c r="D437" s="1" t="s">
        <v>137</v>
      </c>
      <c r="E437" s="1" t="s">
        <v>124</v>
      </c>
      <c r="F437" s="1" t="s">
        <v>40</v>
      </c>
      <c r="G437" s="1" t="s">
        <v>41</v>
      </c>
      <c r="H437" s="1" t="s">
        <v>42</v>
      </c>
      <c r="I437">
        <v>2</v>
      </c>
      <c r="J437">
        <v>1250</v>
      </c>
      <c r="K437">
        <v>940</v>
      </c>
      <c r="L437">
        <v>0.05</v>
      </c>
      <c r="M437" s="1" t="s">
        <v>46</v>
      </c>
      <c r="N437" s="1" t="s">
        <v>36</v>
      </c>
      <c r="O437">
        <v>940</v>
      </c>
      <c r="P437">
        <v>2375</v>
      </c>
      <c r="Q437">
        <v>1880</v>
      </c>
      <c r="R437">
        <v>495</v>
      </c>
      <c r="S437">
        <v>0.20842105263157901</v>
      </c>
    </row>
    <row r="438" spans="1:19" x14ac:dyDescent="0.3">
      <c r="A438" s="1" t="s">
        <v>833</v>
      </c>
      <c r="B438" s="7">
        <f>MONTH(Clean_Sales[[#This Row],[Order_Date]])</f>
        <v>5</v>
      </c>
      <c r="C438" s="6">
        <v>46152</v>
      </c>
      <c r="D438" s="1" t="s">
        <v>382</v>
      </c>
      <c r="E438" s="1" t="s">
        <v>59</v>
      </c>
      <c r="F438" s="1" t="s">
        <v>51</v>
      </c>
      <c r="G438" s="1" t="s">
        <v>52</v>
      </c>
      <c r="H438" s="1" t="s">
        <v>42</v>
      </c>
      <c r="I438">
        <v>8</v>
      </c>
      <c r="J438">
        <v>310</v>
      </c>
      <c r="K438">
        <v>220</v>
      </c>
      <c r="L438">
        <v>0.1</v>
      </c>
      <c r="M438" s="1" t="s">
        <v>46</v>
      </c>
      <c r="N438" s="1" t="s">
        <v>36</v>
      </c>
      <c r="O438">
        <v>220</v>
      </c>
      <c r="P438">
        <v>2232</v>
      </c>
      <c r="Q438">
        <v>1760</v>
      </c>
      <c r="R438">
        <v>472</v>
      </c>
      <c r="S438">
        <v>0.21146953405017899</v>
      </c>
    </row>
    <row r="439" spans="1:19" x14ac:dyDescent="0.3">
      <c r="A439" s="1" t="s">
        <v>834</v>
      </c>
      <c r="B439" s="7">
        <f>MONTH(Clean_Sales[[#This Row],[Order_Date]])</f>
        <v>6</v>
      </c>
      <c r="C439" s="6">
        <v>46192</v>
      </c>
      <c r="D439" s="1" t="s">
        <v>39</v>
      </c>
      <c r="E439" s="1" t="s">
        <v>124</v>
      </c>
      <c r="F439" s="1" t="s">
        <v>40</v>
      </c>
      <c r="G439" s="1" t="s">
        <v>41</v>
      </c>
      <c r="H439" s="1" t="s">
        <v>42</v>
      </c>
      <c r="I439">
        <v>8</v>
      </c>
      <c r="J439">
        <v>1250</v>
      </c>
      <c r="K439">
        <v>940</v>
      </c>
      <c r="L439">
        <v>0</v>
      </c>
      <c r="M439" s="1" t="s">
        <v>23</v>
      </c>
      <c r="N439" s="1" t="s">
        <v>36</v>
      </c>
      <c r="O439">
        <v>940</v>
      </c>
      <c r="P439">
        <v>10000</v>
      </c>
      <c r="Q439">
        <v>7520</v>
      </c>
      <c r="R439">
        <v>2480</v>
      </c>
      <c r="S439">
        <v>0.248</v>
      </c>
    </row>
    <row r="440" spans="1:19" x14ac:dyDescent="0.3">
      <c r="A440" s="1" t="s">
        <v>835</v>
      </c>
      <c r="B440" s="7">
        <f>MONTH(Clean_Sales[[#This Row],[Order_Date]])</f>
        <v>3</v>
      </c>
      <c r="C440" s="6">
        <v>46108</v>
      </c>
      <c r="D440" s="1" t="s">
        <v>579</v>
      </c>
      <c r="E440" s="1" t="s">
        <v>50</v>
      </c>
      <c r="F440" s="1" t="s">
        <v>106</v>
      </c>
      <c r="G440" s="1" t="s">
        <v>107</v>
      </c>
      <c r="H440" s="1" t="s">
        <v>31</v>
      </c>
      <c r="I440">
        <v>6</v>
      </c>
      <c r="J440">
        <v>190</v>
      </c>
      <c r="K440">
        <v>115</v>
      </c>
      <c r="L440">
        <v>0</v>
      </c>
      <c r="M440" s="1" t="s">
        <v>46</v>
      </c>
      <c r="N440" s="1" t="s">
        <v>36</v>
      </c>
      <c r="O440">
        <v>115</v>
      </c>
      <c r="P440">
        <v>1140</v>
      </c>
      <c r="Q440">
        <v>690</v>
      </c>
      <c r="R440">
        <v>450</v>
      </c>
      <c r="S440">
        <v>0.394736842105263</v>
      </c>
    </row>
    <row r="441" spans="1:19" x14ac:dyDescent="0.3">
      <c r="A441" s="1" t="s">
        <v>836</v>
      </c>
      <c r="B441" s="7">
        <f>MONTH(Clean_Sales[[#This Row],[Order_Date]])</f>
        <v>5</v>
      </c>
      <c r="C441" s="6">
        <v>46150</v>
      </c>
      <c r="D441" s="1" t="s">
        <v>390</v>
      </c>
      <c r="E441" s="1" t="s">
        <v>50</v>
      </c>
      <c r="F441" s="1" t="s">
        <v>106</v>
      </c>
      <c r="G441" s="1" t="s">
        <v>107</v>
      </c>
      <c r="H441" s="1" t="s">
        <v>31</v>
      </c>
      <c r="I441">
        <v>2</v>
      </c>
      <c r="J441">
        <v>190</v>
      </c>
      <c r="K441">
        <v>115</v>
      </c>
      <c r="L441">
        <v>0.15</v>
      </c>
      <c r="M441" s="1" t="s">
        <v>23</v>
      </c>
      <c r="N441" s="1" t="s">
        <v>36</v>
      </c>
      <c r="O441">
        <v>115</v>
      </c>
      <c r="P441">
        <v>323</v>
      </c>
      <c r="Q441">
        <v>230</v>
      </c>
      <c r="R441">
        <v>93</v>
      </c>
      <c r="S441">
        <v>0.28792569659442702</v>
      </c>
    </row>
    <row r="442" spans="1:19" x14ac:dyDescent="0.3">
      <c r="A442" s="1" t="s">
        <v>837</v>
      </c>
      <c r="B442" s="7">
        <f>MONTH(Clean_Sales[[#This Row],[Order_Date]])</f>
        <v>2</v>
      </c>
      <c r="C442" s="6">
        <v>46064</v>
      </c>
      <c r="D442" s="1" t="s">
        <v>232</v>
      </c>
      <c r="E442" s="1" t="s">
        <v>124</v>
      </c>
      <c r="F442" s="1" t="s">
        <v>106</v>
      </c>
      <c r="G442" s="1" t="s">
        <v>107</v>
      </c>
      <c r="H442" s="1" t="s">
        <v>31</v>
      </c>
      <c r="I442">
        <v>5</v>
      </c>
      <c r="J442">
        <v>190</v>
      </c>
      <c r="K442">
        <v>115</v>
      </c>
      <c r="L442">
        <v>0.05</v>
      </c>
      <c r="M442" s="1" t="s">
        <v>23</v>
      </c>
      <c r="N442" s="1" t="s">
        <v>36</v>
      </c>
      <c r="O442">
        <v>115</v>
      </c>
      <c r="P442">
        <v>902.5</v>
      </c>
      <c r="Q442">
        <v>575</v>
      </c>
      <c r="R442">
        <v>327.5</v>
      </c>
      <c r="S442">
        <v>0.362880886426593</v>
      </c>
    </row>
    <row r="443" spans="1:19" x14ac:dyDescent="0.3">
      <c r="A443" s="1" t="s">
        <v>838</v>
      </c>
      <c r="B443" s="7">
        <f>MONTH(Clean_Sales[[#This Row],[Order_Date]])</f>
        <v>6</v>
      </c>
      <c r="C443" s="6">
        <v>46198</v>
      </c>
      <c r="D443" s="1" t="s">
        <v>169</v>
      </c>
      <c r="E443" s="1" t="s">
        <v>28</v>
      </c>
      <c r="F443" s="1" t="s">
        <v>51</v>
      </c>
      <c r="G443" s="1" t="s">
        <v>52</v>
      </c>
      <c r="H443" s="1" t="s">
        <v>42</v>
      </c>
      <c r="I443">
        <v>4</v>
      </c>
      <c r="J443">
        <v>310</v>
      </c>
      <c r="K443">
        <v>220</v>
      </c>
      <c r="L443">
        <v>0.15</v>
      </c>
      <c r="M443" s="1" t="s">
        <v>46</v>
      </c>
      <c r="N443" s="1" t="s">
        <v>36</v>
      </c>
      <c r="O443">
        <v>220</v>
      </c>
      <c r="P443">
        <v>1054</v>
      </c>
      <c r="Q443">
        <v>880</v>
      </c>
      <c r="R443">
        <v>174</v>
      </c>
      <c r="S443">
        <v>0.165085388994307</v>
      </c>
    </row>
    <row r="444" spans="1:19" x14ac:dyDescent="0.3">
      <c r="A444" s="1" t="s">
        <v>840</v>
      </c>
      <c r="B444" s="7">
        <f>MONTH(Clean_Sales[[#This Row],[Order_Date]])</f>
        <v>2</v>
      </c>
      <c r="C444" s="6">
        <v>46079</v>
      </c>
      <c r="D444" s="1" t="s">
        <v>295</v>
      </c>
      <c r="E444" s="1" t="s">
        <v>124</v>
      </c>
      <c r="F444" s="1" t="s">
        <v>89</v>
      </c>
      <c r="G444" s="1" t="s">
        <v>90</v>
      </c>
      <c r="H444" s="1" t="s">
        <v>74</v>
      </c>
      <c r="I444">
        <v>4</v>
      </c>
      <c r="J444">
        <v>85</v>
      </c>
      <c r="K444">
        <v>48</v>
      </c>
      <c r="L444">
        <v>0</v>
      </c>
      <c r="M444" s="1" t="s">
        <v>23</v>
      </c>
      <c r="N444" s="1" t="s">
        <v>36</v>
      </c>
      <c r="O444">
        <v>48</v>
      </c>
      <c r="P444">
        <v>340</v>
      </c>
      <c r="Q444">
        <v>192</v>
      </c>
      <c r="R444">
        <v>148</v>
      </c>
      <c r="S444">
        <v>0.435294117647059</v>
      </c>
    </row>
    <row r="445" spans="1:19" x14ac:dyDescent="0.3">
      <c r="A445" s="1" t="s">
        <v>841</v>
      </c>
      <c r="B445" s="7">
        <f>MONTH(Clean_Sales[[#This Row],[Order_Date]])</f>
        <v>3</v>
      </c>
      <c r="C445" s="6">
        <v>46086</v>
      </c>
      <c r="D445" s="1" t="s">
        <v>117</v>
      </c>
      <c r="E445" s="1" t="s">
        <v>50</v>
      </c>
      <c r="F445" s="1" t="s">
        <v>89</v>
      </c>
      <c r="G445" s="1" t="s">
        <v>90</v>
      </c>
      <c r="H445" s="1" t="s">
        <v>74</v>
      </c>
      <c r="I445">
        <v>1</v>
      </c>
      <c r="J445">
        <v>85</v>
      </c>
      <c r="K445">
        <v>48</v>
      </c>
      <c r="L445">
        <v>0.05</v>
      </c>
      <c r="M445" s="1" t="s">
        <v>23</v>
      </c>
      <c r="N445" s="1" t="s">
        <v>36</v>
      </c>
      <c r="O445">
        <v>48</v>
      </c>
      <c r="P445">
        <v>80.75</v>
      </c>
      <c r="Q445">
        <v>48</v>
      </c>
      <c r="R445">
        <v>32.75</v>
      </c>
      <c r="S445">
        <v>0.40557275541795701</v>
      </c>
    </row>
    <row r="446" spans="1:19" x14ac:dyDescent="0.3">
      <c r="A446" s="1" t="s">
        <v>842</v>
      </c>
      <c r="B446" s="7">
        <f>MONTH(Clean_Sales[[#This Row],[Order_Date]])</f>
        <v>1</v>
      </c>
      <c r="C446" s="6">
        <v>46050</v>
      </c>
      <c r="D446" s="1" t="s">
        <v>451</v>
      </c>
      <c r="E446" s="1" t="s">
        <v>50</v>
      </c>
      <c r="F446" s="1" t="s">
        <v>106</v>
      </c>
      <c r="G446" s="1" t="s">
        <v>107</v>
      </c>
      <c r="H446" s="1" t="s">
        <v>31</v>
      </c>
      <c r="I446">
        <v>7</v>
      </c>
      <c r="J446">
        <v>190</v>
      </c>
      <c r="K446">
        <v>115</v>
      </c>
      <c r="L446">
        <v>0.15</v>
      </c>
      <c r="M446" s="1" t="s">
        <v>23</v>
      </c>
      <c r="N446" s="1" t="s">
        <v>36</v>
      </c>
      <c r="O446">
        <v>115</v>
      </c>
      <c r="P446">
        <v>1130.5</v>
      </c>
      <c r="Q446">
        <v>805</v>
      </c>
      <c r="R446">
        <v>325.5</v>
      </c>
      <c r="S446">
        <v>0.28792569659442702</v>
      </c>
    </row>
    <row r="447" spans="1:19" x14ac:dyDescent="0.3">
      <c r="A447" s="1" t="s">
        <v>843</v>
      </c>
      <c r="B447" s="7">
        <f>MONTH(Clean_Sales[[#This Row],[Order_Date]])</f>
        <v>1</v>
      </c>
      <c r="C447" s="6">
        <v>46043</v>
      </c>
      <c r="D447" s="1" t="s">
        <v>377</v>
      </c>
      <c r="E447" s="1" t="s">
        <v>28</v>
      </c>
      <c r="F447" s="1" t="s">
        <v>17</v>
      </c>
      <c r="G447" s="1" t="s">
        <v>18</v>
      </c>
      <c r="H447" s="1" t="s">
        <v>74</v>
      </c>
      <c r="I447">
        <v>3</v>
      </c>
      <c r="J447">
        <v>25</v>
      </c>
      <c r="K447">
        <v>12</v>
      </c>
      <c r="L447">
        <v>0.05</v>
      </c>
      <c r="M447" s="1" t="s">
        <v>23</v>
      </c>
      <c r="N447" s="1" t="s">
        <v>36</v>
      </c>
      <c r="O447">
        <v>12</v>
      </c>
      <c r="P447">
        <v>71.25</v>
      </c>
      <c r="Q447">
        <v>36</v>
      </c>
      <c r="R447">
        <v>35.25</v>
      </c>
      <c r="S447">
        <v>0.49473684210526298</v>
      </c>
    </row>
    <row r="448" spans="1:19" x14ac:dyDescent="0.3">
      <c r="A448" s="1" t="s">
        <v>844</v>
      </c>
      <c r="B448" s="7">
        <f>MONTH(Clean_Sales[[#This Row],[Order_Date]])</f>
        <v>3</v>
      </c>
      <c r="C448" s="6">
        <v>46087</v>
      </c>
      <c r="D448" s="1" t="s">
        <v>15</v>
      </c>
      <c r="E448" s="1" t="s">
        <v>59</v>
      </c>
      <c r="F448" s="1" t="s">
        <v>106</v>
      </c>
      <c r="G448" s="1" t="s">
        <v>107</v>
      </c>
      <c r="H448" s="1" t="s">
        <v>31</v>
      </c>
      <c r="I448">
        <v>8</v>
      </c>
      <c r="J448">
        <v>190</v>
      </c>
      <c r="K448">
        <v>115</v>
      </c>
      <c r="L448">
        <v>0.1</v>
      </c>
      <c r="M448" s="1" t="s">
        <v>46</v>
      </c>
      <c r="N448" s="1" t="s">
        <v>36</v>
      </c>
      <c r="O448">
        <v>115</v>
      </c>
      <c r="P448">
        <v>1368</v>
      </c>
      <c r="Q448">
        <v>920</v>
      </c>
      <c r="R448">
        <v>448</v>
      </c>
      <c r="S448">
        <v>0.32748538011695899</v>
      </c>
    </row>
    <row r="449" spans="1:19" x14ac:dyDescent="0.3">
      <c r="A449" s="1" t="s">
        <v>846</v>
      </c>
      <c r="B449" s="7">
        <f>MONTH(Clean_Sales[[#This Row],[Order_Date]])</f>
        <v>2</v>
      </c>
      <c r="C449" s="6">
        <v>46061</v>
      </c>
      <c r="D449" s="1" t="s">
        <v>235</v>
      </c>
      <c r="E449" s="1" t="s">
        <v>59</v>
      </c>
      <c r="F449" s="1" t="s">
        <v>51</v>
      </c>
      <c r="G449" s="1" t="s">
        <v>52</v>
      </c>
      <c r="H449" s="1" t="s">
        <v>42</v>
      </c>
      <c r="I449">
        <v>1</v>
      </c>
      <c r="J449">
        <v>310</v>
      </c>
      <c r="K449">
        <v>220</v>
      </c>
      <c r="L449">
        <v>0.1</v>
      </c>
      <c r="M449" s="1" t="s">
        <v>23</v>
      </c>
      <c r="N449" s="1" t="s">
        <v>36</v>
      </c>
      <c r="O449">
        <v>220</v>
      </c>
      <c r="P449">
        <v>279</v>
      </c>
      <c r="Q449">
        <v>220</v>
      </c>
      <c r="R449">
        <v>59</v>
      </c>
      <c r="S449">
        <v>0.21146953405017899</v>
      </c>
    </row>
    <row r="450" spans="1:19" x14ac:dyDescent="0.3">
      <c r="A450" s="1" t="s">
        <v>847</v>
      </c>
      <c r="B450" s="7">
        <f>MONTH(Clean_Sales[[#This Row],[Order_Date]])</f>
        <v>5</v>
      </c>
      <c r="C450" s="6">
        <v>46160</v>
      </c>
      <c r="D450" s="1" t="s">
        <v>120</v>
      </c>
      <c r="E450" s="1" t="s">
        <v>28</v>
      </c>
      <c r="F450" s="1" t="s">
        <v>89</v>
      </c>
      <c r="G450" s="1" t="s">
        <v>90</v>
      </c>
      <c r="H450" s="1" t="s">
        <v>74</v>
      </c>
      <c r="I450">
        <v>8</v>
      </c>
      <c r="J450">
        <v>85</v>
      </c>
      <c r="K450">
        <v>48</v>
      </c>
      <c r="L450">
        <v>0.15</v>
      </c>
      <c r="M450" s="1" t="s">
        <v>46</v>
      </c>
      <c r="N450" s="1" t="s">
        <v>36</v>
      </c>
      <c r="O450">
        <v>48</v>
      </c>
      <c r="P450">
        <v>578</v>
      </c>
      <c r="Q450">
        <v>384</v>
      </c>
      <c r="R450">
        <v>194</v>
      </c>
      <c r="S450">
        <v>0.33564013840830398</v>
      </c>
    </row>
    <row r="451" spans="1:19" x14ac:dyDescent="0.3">
      <c r="A451" s="1" t="s">
        <v>848</v>
      </c>
      <c r="B451" s="7">
        <f>MONTH(Clean_Sales[[#This Row],[Order_Date]])</f>
        <v>3</v>
      </c>
      <c r="C451" s="6">
        <v>46093</v>
      </c>
      <c r="D451" s="1" t="s">
        <v>462</v>
      </c>
      <c r="E451" s="1" t="s">
        <v>50</v>
      </c>
      <c r="F451" s="1" t="s">
        <v>106</v>
      </c>
      <c r="G451" s="1" t="s">
        <v>107</v>
      </c>
      <c r="H451" s="1" t="s">
        <v>31</v>
      </c>
      <c r="I451">
        <v>8</v>
      </c>
      <c r="J451">
        <v>190</v>
      </c>
      <c r="K451">
        <v>115</v>
      </c>
      <c r="L451">
        <v>0.1</v>
      </c>
      <c r="M451" s="1" t="s">
        <v>23</v>
      </c>
      <c r="N451" s="1" t="s">
        <v>36</v>
      </c>
      <c r="O451">
        <v>115</v>
      </c>
      <c r="P451">
        <v>1368</v>
      </c>
      <c r="Q451">
        <v>920</v>
      </c>
      <c r="R451">
        <v>448</v>
      </c>
      <c r="S451">
        <v>0.32748538011695899</v>
      </c>
    </row>
    <row r="452" spans="1:19" x14ac:dyDescent="0.3">
      <c r="A452" s="1" t="s">
        <v>849</v>
      </c>
      <c r="B452" s="7">
        <f>MONTH(Clean_Sales[[#This Row],[Order_Date]])</f>
        <v>4</v>
      </c>
      <c r="C452" s="6">
        <v>46114</v>
      </c>
      <c r="D452" s="1" t="s">
        <v>320</v>
      </c>
      <c r="E452" s="1" t="s">
        <v>28</v>
      </c>
      <c r="F452" s="1" t="s">
        <v>29</v>
      </c>
      <c r="G452" s="1" t="s">
        <v>30</v>
      </c>
      <c r="H452" s="1" t="s">
        <v>31</v>
      </c>
      <c r="I452">
        <v>5</v>
      </c>
      <c r="J452">
        <v>280</v>
      </c>
      <c r="K452">
        <v>190</v>
      </c>
      <c r="L452">
        <v>0</v>
      </c>
      <c r="M452" s="1" t="s">
        <v>23</v>
      </c>
      <c r="N452" s="1" t="s">
        <v>36</v>
      </c>
      <c r="O452">
        <v>190</v>
      </c>
      <c r="P452">
        <v>1400</v>
      </c>
      <c r="Q452">
        <v>950</v>
      </c>
      <c r="R452">
        <v>450</v>
      </c>
      <c r="S452">
        <v>0.32142857142857101</v>
      </c>
    </row>
    <row r="453" spans="1:19" x14ac:dyDescent="0.3">
      <c r="A453" s="1" t="s">
        <v>851</v>
      </c>
      <c r="B453" s="7">
        <f>MONTH(Clean_Sales[[#This Row],[Order_Date]])</f>
        <v>2</v>
      </c>
      <c r="C453" s="6">
        <v>46059</v>
      </c>
      <c r="D453" s="1" t="s">
        <v>271</v>
      </c>
      <c r="E453" s="1" t="s">
        <v>59</v>
      </c>
      <c r="F453" s="1" t="s">
        <v>89</v>
      </c>
      <c r="G453" s="1" t="s">
        <v>90</v>
      </c>
      <c r="H453" s="1" t="s">
        <v>74</v>
      </c>
      <c r="I453">
        <v>3</v>
      </c>
      <c r="J453">
        <v>85</v>
      </c>
      <c r="K453">
        <v>48</v>
      </c>
      <c r="L453">
        <v>0.1</v>
      </c>
      <c r="M453" s="1" t="s">
        <v>46</v>
      </c>
      <c r="N453" s="1" t="s">
        <v>36</v>
      </c>
      <c r="O453">
        <v>48</v>
      </c>
      <c r="P453">
        <v>229.5</v>
      </c>
      <c r="Q453">
        <v>144</v>
      </c>
      <c r="R453">
        <v>85.5</v>
      </c>
      <c r="S453">
        <v>0.37254901960784298</v>
      </c>
    </row>
    <row r="454" spans="1:19" x14ac:dyDescent="0.3">
      <c r="A454" s="1" t="s">
        <v>852</v>
      </c>
      <c r="B454" s="7">
        <f>MONTH(Clean_Sales[[#This Row],[Order_Date]])</f>
        <v>1</v>
      </c>
      <c r="C454" s="6">
        <v>46039</v>
      </c>
      <c r="D454" s="1" t="s">
        <v>513</v>
      </c>
      <c r="E454" s="1" t="s">
        <v>124</v>
      </c>
      <c r="F454" s="1" t="s">
        <v>29</v>
      </c>
      <c r="G454" s="1" t="s">
        <v>30</v>
      </c>
      <c r="H454" s="1" t="s">
        <v>31</v>
      </c>
      <c r="I454">
        <v>1</v>
      </c>
      <c r="J454">
        <v>280</v>
      </c>
      <c r="K454">
        <v>190</v>
      </c>
      <c r="L454">
        <v>0.05</v>
      </c>
      <c r="M454" s="1" t="s">
        <v>23</v>
      </c>
      <c r="N454" s="1" t="s">
        <v>36</v>
      </c>
      <c r="O454">
        <v>190</v>
      </c>
      <c r="P454">
        <v>266</v>
      </c>
      <c r="Q454">
        <v>190</v>
      </c>
      <c r="R454">
        <v>76</v>
      </c>
      <c r="S454">
        <v>0.28571428571428598</v>
      </c>
    </row>
    <row r="455" spans="1:19" x14ac:dyDescent="0.3">
      <c r="A455" s="1" t="s">
        <v>853</v>
      </c>
      <c r="B455" s="7">
        <f>MONTH(Clean_Sales[[#This Row],[Order_Date]])</f>
        <v>1</v>
      </c>
      <c r="C455" s="6">
        <v>46041</v>
      </c>
      <c r="D455" s="1" t="s">
        <v>293</v>
      </c>
      <c r="E455" s="1" t="s">
        <v>50</v>
      </c>
      <c r="F455" s="1" t="s">
        <v>89</v>
      </c>
      <c r="G455" s="1" t="s">
        <v>90</v>
      </c>
      <c r="H455" s="1" t="s">
        <v>74</v>
      </c>
      <c r="I455">
        <v>2</v>
      </c>
      <c r="J455">
        <v>85</v>
      </c>
      <c r="K455">
        <v>48</v>
      </c>
      <c r="L455">
        <v>0</v>
      </c>
      <c r="M455" s="1" t="s">
        <v>46</v>
      </c>
      <c r="N455" s="1" t="s">
        <v>36</v>
      </c>
      <c r="O455">
        <v>48</v>
      </c>
      <c r="P455">
        <v>170</v>
      </c>
      <c r="Q455">
        <v>96</v>
      </c>
      <c r="R455">
        <v>74</v>
      </c>
      <c r="S455">
        <v>0.435294117647059</v>
      </c>
    </row>
    <row r="456" spans="1:19" x14ac:dyDescent="0.3">
      <c r="A456" s="1" t="s">
        <v>855</v>
      </c>
      <c r="B456" s="7">
        <f>MONTH(Clean_Sales[[#This Row],[Order_Date]])</f>
        <v>3</v>
      </c>
      <c r="C456" s="6">
        <v>46112</v>
      </c>
      <c r="D456" s="1" t="s">
        <v>260</v>
      </c>
      <c r="E456" s="1" t="s">
        <v>28</v>
      </c>
      <c r="F456" s="1" t="s">
        <v>40</v>
      </c>
      <c r="G456" s="1" t="s">
        <v>41</v>
      </c>
      <c r="H456" s="1" t="s">
        <v>42</v>
      </c>
      <c r="I456">
        <v>1</v>
      </c>
      <c r="J456">
        <v>1250</v>
      </c>
      <c r="K456">
        <v>940</v>
      </c>
      <c r="L456">
        <v>0.1</v>
      </c>
      <c r="M456" s="1" t="s">
        <v>23</v>
      </c>
      <c r="N456" s="1" t="s">
        <v>36</v>
      </c>
      <c r="O456">
        <v>940</v>
      </c>
      <c r="P456">
        <v>1125</v>
      </c>
      <c r="Q456">
        <v>940</v>
      </c>
      <c r="R456">
        <v>185</v>
      </c>
      <c r="S456">
        <v>0.164444444444444</v>
      </c>
    </row>
    <row r="457" spans="1:19" x14ac:dyDescent="0.3">
      <c r="A457" s="1" t="s">
        <v>857</v>
      </c>
      <c r="B457" s="7">
        <f>MONTH(Clean_Sales[[#This Row],[Order_Date]])</f>
        <v>5</v>
      </c>
      <c r="C457" s="6">
        <v>46168</v>
      </c>
      <c r="D457" s="1" t="s">
        <v>279</v>
      </c>
      <c r="E457" s="1" t="s">
        <v>59</v>
      </c>
      <c r="F457" s="1" t="s">
        <v>17</v>
      </c>
      <c r="G457" s="1" t="s">
        <v>18</v>
      </c>
      <c r="H457" s="1" t="s">
        <v>74</v>
      </c>
      <c r="I457">
        <v>5</v>
      </c>
      <c r="J457">
        <v>25</v>
      </c>
      <c r="K457">
        <v>12</v>
      </c>
      <c r="L457">
        <v>0.05</v>
      </c>
      <c r="M457" s="1" t="s">
        <v>46</v>
      </c>
      <c r="N457" s="1" t="s">
        <v>36</v>
      </c>
      <c r="O457">
        <v>12</v>
      </c>
      <c r="P457">
        <v>118.75</v>
      </c>
      <c r="Q457">
        <v>60</v>
      </c>
      <c r="R457">
        <v>58.75</v>
      </c>
      <c r="S457">
        <v>0.49473684210526298</v>
      </c>
    </row>
    <row r="458" spans="1:19" x14ac:dyDescent="0.3">
      <c r="A458" s="1" t="s">
        <v>858</v>
      </c>
      <c r="B458" s="7">
        <f>MONTH(Clean_Sales[[#This Row],[Order_Date]])</f>
        <v>4</v>
      </c>
      <c r="C458" s="6">
        <v>46128</v>
      </c>
      <c r="D458" s="1" t="s">
        <v>232</v>
      </c>
      <c r="E458" s="1" t="s">
        <v>28</v>
      </c>
      <c r="F458" s="1" t="s">
        <v>106</v>
      </c>
      <c r="G458" s="1" t="s">
        <v>107</v>
      </c>
      <c r="H458" s="1" t="s">
        <v>31</v>
      </c>
      <c r="I458">
        <v>7</v>
      </c>
      <c r="J458">
        <v>190</v>
      </c>
      <c r="K458">
        <v>115</v>
      </c>
      <c r="L458">
        <v>0.1</v>
      </c>
      <c r="M458" s="1" t="s">
        <v>46</v>
      </c>
      <c r="N458" s="1" t="s">
        <v>36</v>
      </c>
      <c r="O458">
        <v>115</v>
      </c>
      <c r="P458">
        <v>1197</v>
      </c>
      <c r="Q458">
        <v>805</v>
      </c>
      <c r="R458">
        <v>392</v>
      </c>
      <c r="S458">
        <v>0.32748538011695899</v>
      </c>
    </row>
    <row r="459" spans="1:19" x14ac:dyDescent="0.3">
      <c r="A459" s="1" t="s">
        <v>859</v>
      </c>
      <c r="B459" s="7">
        <f>MONTH(Clean_Sales[[#This Row],[Order_Date]])</f>
        <v>4</v>
      </c>
      <c r="C459" s="6">
        <v>46119</v>
      </c>
      <c r="D459" s="1" t="s">
        <v>238</v>
      </c>
      <c r="E459" s="1" t="s">
        <v>59</v>
      </c>
      <c r="F459" s="1" t="s">
        <v>106</v>
      </c>
      <c r="G459" s="1" t="s">
        <v>107</v>
      </c>
      <c r="H459" s="1" t="s">
        <v>31</v>
      </c>
      <c r="I459">
        <v>6</v>
      </c>
      <c r="J459">
        <v>190</v>
      </c>
      <c r="K459">
        <v>115</v>
      </c>
      <c r="L459">
        <v>0.05</v>
      </c>
      <c r="M459" s="1" t="s">
        <v>46</v>
      </c>
      <c r="N459" s="1" t="s">
        <v>36</v>
      </c>
      <c r="O459">
        <v>115</v>
      </c>
      <c r="P459">
        <v>1083</v>
      </c>
      <c r="Q459">
        <v>690</v>
      </c>
      <c r="R459">
        <v>393</v>
      </c>
      <c r="S459">
        <v>0.362880886426593</v>
      </c>
    </row>
    <row r="460" spans="1:19" x14ac:dyDescent="0.3">
      <c r="A460" s="1" t="s">
        <v>860</v>
      </c>
      <c r="B460" s="7">
        <f>MONTH(Clean_Sales[[#This Row],[Order_Date]])</f>
        <v>6</v>
      </c>
      <c r="C460" s="6">
        <v>46186</v>
      </c>
      <c r="D460" s="1" t="s">
        <v>425</v>
      </c>
      <c r="E460" s="1" t="s">
        <v>124</v>
      </c>
      <c r="F460" s="1" t="s">
        <v>89</v>
      </c>
      <c r="G460" s="1" t="s">
        <v>90</v>
      </c>
      <c r="H460" s="1" t="s">
        <v>74</v>
      </c>
      <c r="I460">
        <v>8</v>
      </c>
      <c r="J460">
        <v>85</v>
      </c>
      <c r="K460">
        <v>48</v>
      </c>
      <c r="L460">
        <v>0.05</v>
      </c>
      <c r="M460" s="1" t="s">
        <v>23</v>
      </c>
      <c r="N460" s="1" t="s">
        <v>36</v>
      </c>
      <c r="O460">
        <v>48</v>
      </c>
      <c r="P460">
        <v>646</v>
      </c>
      <c r="Q460">
        <v>384</v>
      </c>
      <c r="R460">
        <v>262</v>
      </c>
      <c r="S460">
        <v>0.40557275541795701</v>
      </c>
    </row>
    <row r="461" spans="1:19" x14ac:dyDescent="0.3">
      <c r="A461" s="1" t="s">
        <v>861</v>
      </c>
      <c r="B461" s="7">
        <f>MONTH(Clean_Sales[[#This Row],[Order_Date]])</f>
        <v>2</v>
      </c>
      <c r="C461" s="6">
        <v>46080</v>
      </c>
      <c r="D461" s="1" t="s">
        <v>155</v>
      </c>
      <c r="E461" s="1" t="s">
        <v>124</v>
      </c>
      <c r="F461" s="1" t="s">
        <v>72</v>
      </c>
      <c r="G461" s="1" t="s">
        <v>73</v>
      </c>
      <c r="H461" s="1" t="s">
        <v>74</v>
      </c>
      <c r="I461">
        <v>5</v>
      </c>
      <c r="J461">
        <v>65</v>
      </c>
      <c r="K461">
        <v>35</v>
      </c>
      <c r="L461">
        <v>0.05</v>
      </c>
      <c r="M461" s="1" t="s">
        <v>23</v>
      </c>
      <c r="N461" s="1" t="s">
        <v>36</v>
      </c>
      <c r="O461">
        <v>35</v>
      </c>
      <c r="P461">
        <v>308.75</v>
      </c>
      <c r="Q461">
        <v>175</v>
      </c>
      <c r="R461">
        <v>133.75</v>
      </c>
      <c r="S461">
        <v>0.43319838056680199</v>
      </c>
    </row>
    <row r="462" spans="1:19" x14ac:dyDescent="0.3">
      <c r="A462" s="1" t="s">
        <v>862</v>
      </c>
      <c r="B462" s="7">
        <f>MONTH(Clean_Sales[[#This Row],[Order_Date]])</f>
        <v>1</v>
      </c>
      <c r="C462" s="6">
        <v>46050</v>
      </c>
      <c r="D462" s="1" t="s">
        <v>320</v>
      </c>
      <c r="E462" s="1" t="s">
        <v>59</v>
      </c>
      <c r="F462" s="1" t="s">
        <v>89</v>
      </c>
      <c r="G462" s="1" t="s">
        <v>90</v>
      </c>
      <c r="H462" s="1" t="s">
        <v>74</v>
      </c>
      <c r="I462">
        <v>6</v>
      </c>
      <c r="J462">
        <v>85</v>
      </c>
      <c r="K462">
        <v>48</v>
      </c>
      <c r="L462">
        <v>0.15</v>
      </c>
      <c r="M462" s="1" t="s">
        <v>46</v>
      </c>
      <c r="N462" s="1" t="s">
        <v>36</v>
      </c>
      <c r="O462">
        <v>48</v>
      </c>
      <c r="P462">
        <v>433.5</v>
      </c>
      <c r="Q462">
        <v>288</v>
      </c>
      <c r="R462">
        <v>145.5</v>
      </c>
      <c r="S462">
        <v>0.33564013840830398</v>
      </c>
    </row>
    <row r="463" spans="1:19" x14ac:dyDescent="0.3">
      <c r="A463" s="1" t="s">
        <v>863</v>
      </c>
      <c r="B463" s="7">
        <f>MONTH(Clean_Sales[[#This Row],[Order_Date]])</f>
        <v>1</v>
      </c>
      <c r="C463" s="6">
        <v>46026</v>
      </c>
      <c r="D463" s="1" t="s">
        <v>79</v>
      </c>
      <c r="E463" s="1" t="s">
        <v>124</v>
      </c>
      <c r="F463" s="1" t="s">
        <v>89</v>
      </c>
      <c r="G463" s="1" t="s">
        <v>90</v>
      </c>
      <c r="H463" s="1" t="s">
        <v>74</v>
      </c>
      <c r="I463">
        <v>5</v>
      </c>
      <c r="J463">
        <v>85</v>
      </c>
      <c r="K463">
        <v>48</v>
      </c>
      <c r="L463">
        <v>0.15</v>
      </c>
      <c r="M463" s="1" t="s">
        <v>23</v>
      </c>
      <c r="N463" s="1" t="s">
        <v>36</v>
      </c>
      <c r="O463">
        <v>48</v>
      </c>
      <c r="P463">
        <v>361.25</v>
      </c>
      <c r="Q463">
        <v>240</v>
      </c>
      <c r="R463">
        <v>121.25</v>
      </c>
      <c r="S463">
        <v>0.33564013840830398</v>
      </c>
    </row>
    <row r="464" spans="1:19" x14ac:dyDescent="0.3">
      <c r="A464" s="1" t="s">
        <v>864</v>
      </c>
      <c r="B464" s="7">
        <f>MONTH(Clean_Sales[[#This Row],[Order_Date]])</f>
        <v>2</v>
      </c>
      <c r="C464" s="6">
        <v>46076</v>
      </c>
      <c r="D464" s="1" t="s">
        <v>273</v>
      </c>
      <c r="E464" s="1" t="s">
        <v>124</v>
      </c>
      <c r="F464" s="1" t="s">
        <v>72</v>
      </c>
      <c r="G464" s="1" t="s">
        <v>73</v>
      </c>
      <c r="H464" s="1" t="s">
        <v>74</v>
      </c>
      <c r="I464">
        <v>4</v>
      </c>
      <c r="J464">
        <v>65</v>
      </c>
      <c r="K464">
        <v>35</v>
      </c>
      <c r="L464">
        <v>0.15</v>
      </c>
      <c r="M464" s="1" t="s">
        <v>46</v>
      </c>
      <c r="N464" s="1" t="s">
        <v>36</v>
      </c>
      <c r="O464">
        <v>35</v>
      </c>
      <c r="P464">
        <v>221</v>
      </c>
      <c r="Q464">
        <v>140</v>
      </c>
      <c r="R464">
        <v>81</v>
      </c>
      <c r="S464">
        <v>0.36651583710407198</v>
      </c>
    </row>
    <row r="465" spans="1:19" x14ac:dyDescent="0.3">
      <c r="A465" s="1" t="s">
        <v>865</v>
      </c>
      <c r="B465" s="7">
        <f>MONTH(Clean_Sales[[#This Row],[Order_Date]])</f>
        <v>5</v>
      </c>
      <c r="C465" s="6">
        <v>46156</v>
      </c>
      <c r="D465" s="1" t="s">
        <v>260</v>
      </c>
      <c r="E465" s="1" t="s">
        <v>50</v>
      </c>
      <c r="F465" s="1" t="s">
        <v>106</v>
      </c>
      <c r="G465" s="1" t="s">
        <v>107</v>
      </c>
      <c r="H465" s="1" t="s">
        <v>31</v>
      </c>
      <c r="I465">
        <v>4</v>
      </c>
      <c r="J465">
        <v>190</v>
      </c>
      <c r="K465">
        <v>115</v>
      </c>
      <c r="L465">
        <v>0.05</v>
      </c>
      <c r="M465" s="1" t="s">
        <v>46</v>
      </c>
      <c r="N465" s="1" t="s">
        <v>36</v>
      </c>
      <c r="O465">
        <v>115</v>
      </c>
      <c r="P465">
        <v>722</v>
      </c>
      <c r="Q465">
        <v>460</v>
      </c>
      <c r="R465">
        <v>262</v>
      </c>
      <c r="S465">
        <v>0.362880886426593</v>
      </c>
    </row>
    <row r="466" spans="1:19" x14ac:dyDescent="0.3">
      <c r="A466" s="1" t="s">
        <v>866</v>
      </c>
      <c r="B466" s="7">
        <f>MONTH(Clean_Sales[[#This Row],[Order_Date]])</f>
        <v>1</v>
      </c>
      <c r="C466" s="6">
        <v>46043</v>
      </c>
      <c r="D466" s="1" t="s">
        <v>322</v>
      </c>
      <c r="E466" s="1" t="s">
        <v>982</v>
      </c>
      <c r="F466" s="1" t="s">
        <v>17</v>
      </c>
      <c r="G466" s="1" t="s">
        <v>18</v>
      </c>
      <c r="H466" s="1" t="s">
        <v>74</v>
      </c>
      <c r="I466">
        <v>8</v>
      </c>
      <c r="J466">
        <v>25</v>
      </c>
      <c r="K466">
        <v>12</v>
      </c>
      <c r="L466">
        <v>0.15</v>
      </c>
      <c r="M466" s="1" t="s">
        <v>46</v>
      </c>
      <c r="N466" s="1" t="s">
        <v>36</v>
      </c>
      <c r="O466">
        <v>12</v>
      </c>
      <c r="P466">
        <v>170</v>
      </c>
      <c r="Q466">
        <v>96</v>
      </c>
      <c r="R466">
        <v>74</v>
      </c>
      <c r="S466">
        <v>0.435294117647059</v>
      </c>
    </row>
    <row r="467" spans="1:19" x14ac:dyDescent="0.3">
      <c r="A467" s="1" t="s">
        <v>867</v>
      </c>
      <c r="B467" s="7">
        <f>MONTH(Clean_Sales[[#This Row],[Order_Date]])</f>
        <v>6</v>
      </c>
      <c r="C467" s="6">
        <v>46190</v>
      </c>
      <c r="D467" s="1" t="s">
        <v>39</v>
      </c>
      <c r="E467" s="1" t="s">
        <v>50</v>
      </c>
      <c r="F467" s="1" t="s">
        <v>89</v>
      </c>
      <c r="G467" s="1" t="s">
        <v>90</v>
      </c>
      <c r="H467" s="1" t="s">
        <v>74</v>
      </c>
      <c r="I467">
        <v>3</v>
      </c>
      <c r="J467">
        <v>85</v>
      </c>
      <c r="K467">
        <v>48</v>
      </c>
      <c r="L467">
        <v>0.05</v>
      </c>
      <c r="M467" s="1" t="s">
        <v>23</v>
      </c>
      <c r="N467" s="1" t="s">
        <v>36</v>
      </c>
      <c r="O467">
        <v>48</v>
      </c>
      <c r="P467">
        <v>242.25</v>
      </c>
      <c r="Q467">
        <v>144</v>
      </c>
      <c r="R467">
        <v>98.25</v>
      </c>
      <c r="S467">
        <v>0.40557275541795701</v>
      </c>
    </row>
    <row r="468" spans="1:19" x14ac:dyDescent="0.3">
      <c r="A468" s="1" t="s">
        <v>868</v>
      </c>
      <c r="B468" s="7">
        <f>MONTH(Clean_Sales[[#This Row],[Order_Date]])</f>
        <v>2</v>
      </c>
      <c r="C468" s="6">
        <v>46063</v>
      </c>
      <c r="D468" s="1" t="s">
        <v>308</v>
      </c>
      <c r="E468" s="1" t="s">
        <v>28</v>
      </c>
      <c r="F468" s="1" t="s">
        <v>64</v>
      </c>
      <c r="G468" s="1" t="s">
        <v>65</v>
      </c>
      <c r="H468" s="1" t="s">
        <v>42</v>
      </c>
      <c r="I468">
        <v>3</v>
      </c>
      <c r="J468">
        <v>360</v>
      </c>
      <c r="K468">
        <v>250</v>
      </c>
      <c r="L468">
        <v>0.1</v>
      </c>
      <c r="M468" s="1" t="s">
        <v>23</v>
      </c>
      <c r="N468" s="1" t="s">
        <v>36</v>
      </c>
      <c r="O468">
        <v>250</v>
      </c>
      <c r="P468">
        <v>972</v>
      </c>
      <c r="Q468">
        <v>750</v>
      </c>
      <c r="R468">
        <v>222</v>
      </c>
      <c r="S468">
        <v>0.22839506172839499</v>
      </c>
    </row>
    <row r="469" spans="1:19" x14ac:dyDescent="0.3">
      <c r="A469" s="1" t="s">
        <v>869</v>
      </c>
      <c r="B469" s="7">
        <f>MONTH(Clean_Sales[[#This Row],[Order_Date]])</f>
        <v>3</v>
      </c>
      <c r="C469" s="6">
        <v>46098</v>
      </c>
      <c r="D469" s="1" t="s">
        <v>166</v>
      </c>
      <c r="E469" s="1" t="s">
        <v>50</v>
      </c>
      <c r="F469" s="1" t="s">
        <v>64</v>
      </c>
      <c r="G469" s="1" t="s">
        <v>65</v>
      </c>
      <c r="H469" s="1" t="s">
        <v>42</v>
      </c>
      <c r="I469">
        <v>8</v>
      </c>
      <c r="J469">
        <v>360</v>
      </c>
      <c r="K469">
        <v>250</v>
      </c>
      <c r="L469">
        <v>0</v>
      </c>
      <c r="M469" s="1" t="s">
        <v>46</v>
      </c>
      <c r="N469" s="1" t="s">
        <v>36</v>
      </c>
      <c r="O469">
        <v>250</v>
      </c>
      <c r="P469">
        <v>2880</v>
      </c>
      <c r="Q469">
        <v>2000</v>
      </c>
      <c r="R469">
        <v>880</v>
      </c>
      <c r="S469">
        <v>0.30555555555555602</v>
      </c>
    </row>
    <row r="470" spans="1:19" x14ac:dyDescent="0.3">
      <c r="A470" s="1" t="s">
        <v>870</v>
      </c>
      <c r="B470" s="7">
        <f>MONTH(Clean_Sales[[#This Row],[Order_Date]])</f>
        <v>2</v>
      </c>
      <c r="C470" s="6">
        <v>46058</v>
      </c>
      <c r="D470" s="1" t="s">
        <v>175</v>
      </c>
      <c r="E470" s="1" t="s">
        <v>59</v>
      </c>
      <c r="F470" s="1" t="s">
        <v>89</v>
      </c>
      <c r="G470" s="1" t="s">
        <v>90</v>
      </c>
      <c r="H470" s="1" t="s">
        <v>74</v>
      </c>
      <c r="I470">
        <v>2</v>
      </c>
      <c r="J470">
        <v>85</v>
      </c>
      <c r="K470">
        <v>48</v>
      </c>
      <c r="L470">
        <v>0.1</v>
      </c>
      <c r="M470" s="1" t="s">
        <v>46</v>
      </c>
      <c r="N470" s="1" t="s">
        <v>36</v>
      </c>
      <c r="O470">
        <v>48</v>
      </c>
      <c r="P470">
        <v>153</v>
      </c>
      <c r="Q470">
        <v>96</v>
      </c>
      <c r="R470">
        <v>57</v>
      </c>
      <c r="S470">
        <v>0.37254901960784298</v>
      </c>
    </row>
    <row r="471" spans="1:19" x14ac:dyDescent="0.3">
      <c r="A471" s="1" t="s">
        <v>871</v>
      </c>
      <c r="B471" s="7">
        <f>MONTH(Clean_Sales[[#This Row],[Order_Date]])</f>
        <v>4</v>
      </c>
      <c r="C471" s="6">
        <v>46113</v>
      </c>
      <c r="D471" s="1" t="s">
        <v>513</v>
      </c>
      <c r="E471" s="1" t="s">
        <v>59</v>
      </c>
      <c r="F471" s="1" t="s">
        <v>17</v>
      </c>
      <c r="G471" s="1" t="s">
        <v>18</v>
      </c>
      <c r="H471" s="1" t="s">
        <v>74</v>
      </c>
      <c r="I471">
        <v>4</v>
      </c>
      <c r="J471">
        <v>25</v>
      </c>
      <c r="K471">
        <v>12</v>
      </c>
      <c r="L471">
        <v>0.05</v>
      </c>
      <c r="M471" s="1" t="s">
        <v>23</v>
      </c>
      <c r="N471" s="1" t="s">
        <v>36</v>
      </c>
      <c r="O471">
        <v>12</v>
      </c>
      <c r="P471">
        <v>95</v>
      </c>
      <c r="Q471">
        <v>48</v>
      </c>
      <c r="R471">
        <v>47</v>
      </c>
      <c r="S471">
        <v>0.49473684210526298</v>
      </c>
    </row>
    <row r="472" spans="1:19" x14ac:dyDescent="0.3">
      <c r="A472" s="1" t="s">
        <v>872</v>
      </c>
      <c r="B472" s="7">
        <f>MONTH(Clean_Sales[[#This Row],[Order_Date]])</f>
        <v>4</v>
      </c>
      <c r="C472" s="6">
        <v>46123</v>
      </c>
      <c r="D472" s="1" t="s">
        <v>356</v>
      </c>
      <c r="E472" s="1" t="s">
        <v>59</v>
      </c>
      <c r="F472" s="1" t="s">
        <v>106</v>
      </c>
      <c r="G472" s="1" t="s">
        <v>107</v>
      </c>
      <c r="H472" s="1" t="s">
        <v>31</v>
      </c>
      <c r="I472">
        <v>1</v>
      </c>
      <c r="J472">
        <v>190</v>
      </c>
      <c r="K472">
        <v>115</v>
      </c>
      <c r="L472">
        <v>0.1</v>
      </c>
      <c r="M472" s="1" t="s">
        <v>46</v>
      </c>
      <c r="N472" s="1" t="s">
        <v>36</v>
      </c>
      <c r="O472">
        <v>115</v>
      </c>
      <c r="P472">
        <v>171</v>
      </c>
      <c r="Q472">
        <v>115</v>
      </c>
      <c r="R472">
        <v>56</v>
      </c>
      <c r="S472">
        <v>0.32748538011695899</v>
      </c>
    </row>
    <row r="473" spans="1:19" x14ac:dyDescent="0.3">
      <c r="A473" s="1" t="s">
        <v>873</v>
      </c>
      <c r="B473" s="7">
        <f>MONTH(Clean_Sales[[#This Row],[Order_Date]])</f>
        <v>6</v>
      </c>
      <c r="C473" s="6">
        <v>46199</v>
      </c>
      <c r="D473" s="1" t="s">
        <v>39</v>
      </c>
      <c r="E473" s="1" t="s">
        <v>124</v>
      </c>
      <c r="F473" s="1" t="s">
        <v>51</v>
      </c>
      <c r="G473" s="1" t="s">
        <v>52</v>
      </c>
      <c r="H473" s="1" t="s">
        <v>42</v>
      </c>
      <c r="I473">
        <v>5</v>
      </c>
      <c r="J473">
        <v>310</v>
      </c>
      <c r="K473">
        <v>220</v>
      </c>
      <c r="L473">
        <v>0.15</v>
      </c>
      <c r="M473" s="1" t="s">
        <v>23</v>
      </c>
      <c r="N473" s="1" t="s">
        <v>36</v>
      </c>
      <c r="O473">
        <v>220</v>
      </c>
      <c r="P473">
        <v>1317.5</v>
      </c>
      <c r="Q473">
        <v>1100</v>
      </c>
      <c r="R473">
        <v>217.5</v>
      </c>
      <c r="S473">
        <v>0.165085388994307</v>
      </c>
    </row>
    <row r="474" spans="1:19" x14ac:dyDescent="0.3">
      <c r="A474" s="1" t="s">
        <v>875</v>
      </c>
      <c r="B474" s="7">
        <f>MONTH(Clean_Sales[[#This Row],[Order_Date]])</f>
        <v>2</v>
      </c>
      <c r="C474" s="6">
        <v>46065</v>
      </c>
      <c r="D474" s="1" t="s">
        <v>222</v>
      </c>
      <c r="E474" s="1" t="s">
        <v>28</v>
      </c>
      <c r="F474" s="1" t="s">
        <v>72</v>
      </c>
      <c r="G474" s="1" t="s">
        <v>73</v>
      </c>
      <c r="H474" s="1" t="s">
        <v>74</v>
      </c>
      <c r="I474">
        <v>5</v>
      </c>
      <c r="J474">
        <v>65</v>
      </c>
      <c r="K474">
        <v>35</v>
      </c>
      <c r="L474">
        <v>0.1</v>
      </c>
      <c r="M474" s="1" t="s">
        <v>46</v>
      </c>
      <c r="N474" s="1" t="s">
        <v>36</v>
      </c>
      <c r="O474">
        <v>35</v>
      </c>
      <c r="P474">
        <v>292.5</v>
      </c>
      <c r="Q474">
        <v>175</v>
      </c>
      <c r="R474">
        <v>117.5</v>
      </c>
      <c r="S474">
        <v>0.401709401709402</v>
      </c>
    </row>
    <row r="475" spans="1:19" x14ac:dyDescent="0.3">
      <c r="A475" s="1" t="s">
        <v>876</v>
      </c>
      <c r="B475" s="7">
        <f>MONTH(Clean_Sales[[#This Row],[Order_Date]])</f>
        <v>6</v>
      </c>
      <c r="C475" s="6">
        <v>46190</v>
      </c>
      <c r="D475" s="1" t="s">
        <v>155</v>
      </c>
      <c r="E475" s="1" t="s">
        <v>59</v>
      </c>
      <c r="F475" s="1" t="s">
        <v>51</v>
      </c>
      <c r="G475" s="1" t="s">
        <v>52</v>
      </c>
      <c r="H475" s="1" t="s">
        <v>42</v>
      </c>
      <c r="I475">
        <v>3</v>
      </c>
      <c r="J475">
        <v>310</v>
      </c>
      <c r="K475">
        <v>220</v>
      </c>
      <c r="L475">
        <v>0.15</v>
      </c>
      <c r="M475" s="1" t="s">
        <v>46</v>
      </c>
      <c r="N475" s="1" t="s">
        <v>36</v>
      </c>
      <c r="O475">
        <v>220</v>
      </c>
      <c r="P475">
        <v>790.5</v>
      </c>
      <c r="Q475">
        <v>660</v>
      </c>
      <c r="R475">
        <v>130.5</v>
      </c>
      <c r="S475">
        <v>0.165085388994307</v>
      </c>
    </row>
    <row r="476" spans="1:19" x14ac:dyDescent="0.3">
      <c r="A476" s="1" t="s">
        <v>877</v>
      </c>
      <c r="B476" s="7">
        <f>MONTH(Clean_Sales[[#This Row],[Order_Date]])</f>
        <v>2</v>
      </c>
      <c r="C476" s="6">
        <v>46077</v>
      </c>
      <c r="D476" s="1" t="s">
        <v>205</v>
      </c>
      <c r="E476" s="1" t="s">
        <v>50</v>
      </c>
      <c r="F476" s="1" t="s">
        <v>89</v>
      </c>
      <c r="G476" s="1" t="s">
        <v>90</v>
      </c>
      <c r="H476" s="1" t="s">
        <v>74</v>
      </c>
      <c r="I476">
        <v>8</v>
      </c>
      <c r="J476">
        <v>85</v>
      </c>
      <c r="K476">
        <v>48</v>
      </c>
      <c r="L476">
        <v>0.15</v>
      </c>
      <c r="M476" s="1" t="s">
        <v>23</v>
      </c>
      <c r="N476" s="1" t="s">
        <v>36</v>
      </c>
      <c r="O476">
        <v>48</v>
      </c>
      <c r="P476">
        <v>578</v>
      </c>
      <c r="Q476">
        <v>384</v>
      </c>
      <c r="R476">
        <v>194</v>
      </c>
      <c r="S476">
        <v>0.33564013840830398</v>
      </c>
    </row>
    <row r="477" spans="1:19" x14ac:dyDescent="0.3">
      <c r="A477" s="1" t="s">
        <v>878</v>
      </c>
      <c r="B477" s="7">
        <f>MONTH(Clean_Sales[[#This Row],[Order_Date]])</f>
        <v>4</v>
      </c>
      <c r="C477" s="6">
        <v>46113</v>
      </c>
      <c r="D477" s="1" t="s">
        <v>345</v>
      </c>
      <c r="E477" s="1" t="s">
        <v>50</v>
      </c>
      <c r="F477" s="1" t="s">
        <v>29</v>
      </c>
      <c r="G477" s="1" t="s">
        <v>30</v>
      </c>
      <c r="H477" s="1" t="s">
        <v>31</v>
      </c>
      <c r="I477">
        <v>3</v>
      </c>
      <c r="J477">
        <v>280</v>
      </c>
      <c r="K477">
        <v>190</v>
      </c>
      <c r="L477">
        <v>0.15</v>
      </c>
      <c r="M477" s="1" t="s">
        <v>23</v>
      </c>
      <c r="N477" s="1" t="s">
        <v>36</v>
      </c>
      <c r="O477">
        <v>190</v>
      </c>
      <c r="P477">
        <v>714</v>
      </c>
      <c r="Q477">
        <v>570</v>
      </c>
      <c r="R477">
        <v>144</v>
      </c>
      <c r="S477">
        <v>0.20168067226890801</v>
      </c>
    </row>
    <row r="478" spans="1:19" x14ac:dyDescent="0.3">
      <c r="A478" s="1" t="s">
        <v>879</v>
      </c>
      <c r="B478" s="7">
        <f>MONTH(Clean_Sales[[#This Row],[Order_Date]])</f>
        <v>6</v>
      </c>
      <c r="C478" s="6">
        <v>46187</v>
      </c>
      <c r="D478" s="1" t="s">
        <v>475</v>
      </c>
      <c r="E478" s="1" t="s">
        <v>59</v>
      </c>
      <c r="F478" s="1" t="s">
        <v>29</v>
      </c>
      <c r="G478" s="1" t="s">
        <v>30</v>
      </c>
      <c r="H478" s="1" t="s">
        <v>31</v>
      </c>
      <c r="I478">
        <v>5</v>
      </c>
      <c r="J478">
        <v>280</v>
      </c>
      <c r="K478">
        <v>190</v>
      </c>
      <c r="L478">
        <v>0.15</v>
      </c>
      <c r="M478" s="1" t="s">
        <v>46</v>
      </c>
      <c r="N478" s="1" t="s">
        <v>36</v>
      </c>
      <c r="O478">
        <v>190</v>
      </c>
      <c r="P478">
        <v>1190</v>
      </c>
      <c r="Q478">
        <v>950</v>
      </c>
      <c r="R478">
        <v>240</v>
      </c>
      <c r="S478">
        <v>0.20168067226890801</v>
      </c>
    </row>
    <row r="479" spans="1:19" x14ac:dyDescent="0.3">
      <c r="A479" s="1" t="s">
        <v>880</v>
      </c>
      <c r="B479" s="7">
        <f>MONTH(Clean_Sales[[#This Row],[Order_Date]])</f>
        <v>5</v>
      </c>
      <c r="C479" s="6">
        <v>46154</v>
      </c>
      <c r="D479" s="1" t="s">
        <v>140</v>
      </c>
      <c r="E479" s="1" t="s">
        <v>28</v>
      </c>
      <c r="F479" s="1" t="s">
        <v>64</v>
      </c>
      <c r="G479" s="1" t="s">
        <v>65</v>
      </c>
      <c r="H479" s="1" t="s">
        <v>42</v>
      </c>
      <c r="I479">
        <v>6</v>
      </c>
      <c r="J479">
        <v>360</v>
      </c>
      <c r="K479">
        <v>250</v>
      </c>
      <c r="L479">
        <v>0.05</v>
      </c>
      <c r="M479" s="1" t="s">
        <v>46</v>
      </c>
      <c r="N479" s="1" t="s">
        <v>36</v>
      </c>
      <c r="O479">
        <v>250</v>
      </c>
      <c r="P479">
        <v>2052</v>
      </c>
      <c r="Q479">
        <v>1500</v>
      </c>
      <c r="R479">
        <v>552</v>
      </c>
      <c r="S479">
        <v>0.26900584795321603</v>
      </c>
    </row>
    <row r="480" spans="1:19" x14ac:dyDescent="0.3">
      <c r="A480" s="1" t="s">
        <v>881</v>
      </c>
      <c r="B480" s="7">
        <f>MONTH(Clean_Sales[[#This Row],[Order_Date]])</f>
        <v>4</v>
      </c>
      <c r="C480" s="6">
        <v>46122</v>
      </c>
      <c r="D480" s="1" t="s">
        <v>182</v>
      </c>
      <c r="E480" s="1" t="s">
        <v>28</v>
      </c>
      <c r="F480" s="1" t="s">
        <v>64</v>
      </c>
      <c r="G480" s="1" t="s">
        <v>65</v>
      </c>
      <c r="H480" s="1" t="s">
        <v>42</v>
      </c>
      <c r="I480">
        <v>1</v>
      </c>
      <c r="J480">
        <v>360</v>
      </c>
      <c r="K480">
        <v>250</v>
      </c>
      <c r="L480">
        <v>0.15</v>
      </c>
      <c r="M480" s="1" t="s">
        <v>23</v>
      </c>
      <c r="N480" s="1" t="s">
        <v>36</v>
      </c>
      <c r="O480">
        <v>250</v>
      </c>
      <c r="P480">
        <v>306</v>
      </c>
      <c r="Q480">
        <v>250</v>
      </c>
      <c r="R480">
        <v>56</v>
      </c>
      <c r="S480">
        <v>0.18300653594771199</v>
      </c>
    </row>
    <row r="481" spans="1:19" x14ac:dyDescent="0.3">
      <c r="A481" s="1" t="s">
        <v>882</v>
      </c>
      <c r="B481" s="7">
        <f>MONTH(Clean_Sales[[#This Row],[Order_Date]])</f>
        <v>1</v>
      </c>
      <c r="C481" s="6">
        <v>46026</v>
      </c>
      <c r="D481" s="1" t="s">
        <v>216</v>
      </c>
      <c r="E481" s="1" t="s">
        <v>28</v>
      </c>
      <c r="F481" s="1" t="s">
        <v>64</v>
      </c>
      <c r="G481" s="1" t="s">
        <v>65</v>
      </c>
      <c r="H481" s="1" t="s">
        <v>42</v>
      </c>
      <c r="I481">
        <v>2</v>
      </c>
      <c r="J481">
        <v>360</v>
      </c>
      <c r="K481">
        <v>250</v>
      </c>
      <c r="L481">
        <v>0.15</v>
      </c>
      <c r="M481" s="1" t="s">
        <v>23</v>
      </c>
      <c r="N481" s="1" t="s">
        <v>36</v>
      </c>
      <c r="O481">
        <v>250</v>
      </c>
      <c r="P481">
        <v>612</v>
      </c>
      <c r="Q481">
        <v>500</v>
      </c>
      <c r="R481">
        <v>112</v>
      </c>
      <c r="S481">
        <v>0.18300653594771199</v>
      </c>
    </row>
    <row r="482" spans="1:19" x14ac:dyDescent="0.3">
      <c r="A482" s="1" t="s">
        <v>883</v>
      </c>
      <c r="B482" s="7">
        <f>MONTH(Clean_Sales[[#This Row],[Order_Date]])</f>
        <v>4</v>
      </c>
      <c r="C482" s="6">
        <v>46123</v>
      </c>
      <c r="D482" s="1" t="s">
        <v>382</v>
      </c>
      <c r="E482" s="1" t="s">
        <v>124</v>
      </c>
      <c r="F482" s="1" t="s">
        <v>17</v>
      </c>
      <c r="G482" s="1" t="s">
        <v>18</v>
      </c>
      <c r="H482" s="1" t="s">
        <v>74</v>
      </c>
      <c r="I482">
        <v>1</v>
      </c>
      <c r="J482">
        <v>25</v>
      </c>
      <c r="K482">
        <v>12</v>
      </c>
      <c r="L482">
        <v>0</v>
      </c>
      <c r="M482" s="1" t="s">
        <v>23</v>
      </c>
      <c r="N482" s="1" t="s">
        <v>36</v>
      </c>
      <c r="O482">
        <v>12</v>
      </c>
      <c r="P482">
        <v>25</v>
      </c>
      <c r="Q482">
        <v>12</v>
      </c>
      <c r="R482">
        <v>13</v>
      </c>
      <c r="S482">
        <v>0.52</v>
      </c>
    </row>
    <row r="483" spans="1:19" x14ac:dyDescent="0.3">
      <c r="A483" s="1" t="s">
        <v>884</v>
      </c>
      <c r="B483" s="7">
        <f>MONTH(Clean_Sales[[#This Row],[Order_Date]])</f>
        <v>1</v>
      </c>
      <c r="C483" s="6">
        <v>46046</v>
      </c>
      <c r="D483" s="1" t="s">
        <v>205</v>
      </c>
      <c r="E483" s="1" t="s">
        <v>124</v>
      </c>
      <c r="F483" s="1" t="s">
        <v>106</v>
      </c>
      <c r="G483" s="1" t="s">
        <v>107</v>
      </c>
      <c r="H483" s="1" t="s">
        <v>31</v>
      </c>
      <c r="I483">
        <v>1</v>
      </c>
      <c r="J483">
        <v>190</v>
      </c>
      <c r="K483">
        <v>115</v>
      </c>
      <c r="L483">
        <v>0</v>
      </c>
      <c r="M483" s="1" t="s">
        <v>23</v>
      </c>
      <c r="N483" s="1" t="s">
        <v>36</v>
      </c>
      <c r="O483">
        <v>115</v>
      </c>
      <c r="P483">
        <v>190</v>
      </c>
      <c r="Q483">
        <v>115</v>
      </c>
      <c r="R483">
        <v>75</v>
      </c>
      <c r="S483">
        <v>0.394736842105263</v>
      </c>
    </row>
    <row r="484" spans="1:19" x14ac:dyDescent="0.3">
      <c r="A484" s="1" t="s">
        <v>885</v>
      </c>
      <c r="B484" s="7">
        <f>MONTH(Clean_Sales[[#This Row],[Order_Date]])</f>
        <v>1</v>
      </c>
      <c r="C484" s="6">
        <v>46047</v>
      </c>
      <c r="D484" s="1" t="s">
        <v>462</v>
      </c>
      <c r="E484" s="1" t="s">
        <v>50</v>
      </c>
      <c r="F484" s="1" t="s">
        <v>17</v>
      </c>
      <c r="G484" s="1" t="s">
        <v>18</v>
      </c>
      <c r="H484" s="1" t="s">
        <v>74</v>
      </c>
      <c r="I484">
        <v>5</v>
      </c>
      <c r="J484">
        <v>25</v>
      </c>
      <c r="K484">
        <v>12</v>
      </c>
      <c r="L484">
        <v>0.15</v>
      </c>
      <c r="M484" s="1" t="s">
        <v>23</v>
      </c>
      <c r="N484" s="1" t="s">
        <v>36</v>
      </c>
      <c r="O484">
        <v>12</v>
      </c>
      <c r="P484">
        <v>106.25</v>
      </c>
      <c r="Q484">
        <v>60</v>
      </c>
      <c r="R484">
        <v>46.25</v>
      </c>
      <c r="S484">
        <v>0.435294117647059</v>
      </c>
    </row>
    <row r="485" spans="1:19" x14ac:dyDescent="0.3">
      <c r="A485" s="1" t="s">
        <v>887</v>
      </c>
      <c r="B485" s="7">
        <f>MONTH(Clean_Sales[[#This Row],[Order_Date]])</f>
        <v>2</v>
      </c>
      <c r="C485" s="6">
        <v>46069</v>
      </c>
      <c r="D485" s="1" t="s">
        <v>271</v>
      </c>
      <c r="E485" s="1" t="s">
        <v>28</v>
      </c>
      <c r="F485" s="1" t="s">
        <v>17</v>
      </c>
      <c r="G485" s="1" t="s">
        <v>18</v>
      </c>
      <c r="H485" s="1" t="s">
        <v>74</v>
      </c>
      <c r="I485">
        <v>7</v>
      </c>
      <c r="J485">
        <v>25</v>
      </c>
      <c r="K485">
        <v>12</v>
      </c>
      <c r="L485">
        <v>0.05</v>
      </c>
      <c r="M485" s="1" t="s">
        <v>23</v>
      </c>
      <c r="N485" s="1" t="s">
        <v>36</v>
      </c>
      <c r="O485">
        <v>12</v>
      </c>
      <c r="P485">
        <v>166.25</v>
      </c>
      <c r="Q485">
        <v>84</v>
      </c>
      <c r="R485">
        <v>82.25</v>
      </c>
      <c r="S485">
        <v>0.49473684210526298</v>
      </c>
    </row>
    <row r="486" spans="1:19" x14ac:dyDescent="0.3">
      <c r="A486" s="1" t="s">
        <v>888</v>
      </c>
      <c r="B486" s="7">
        <f>MONTH(Clean_Sales[[#This Row],[Order_Date]])</f>
        <v>3</v>
      </c>
      <c r="C486" s="6">
        <v>46107</v>
      </c>
      <c r="D486" s="1" t="s">
        <v>96</v>
      </c>
      <c r="E486" s="1" t="s">
        <v>124</v>
      </c>
      <c r="F486" s="1" t="s">
        <v>89</v>
      </c>
      <c r="G486" s="1" t="s">
        <v>90</v>
      </c>
      <c r="H486" s="1" t="s">
        <v>74</v>
      </c>
      <c r="I486">
        <v>3</v>
      </c>
      <c r="J486">
        <v>85</v>
      </c>
      <c r="K486">
        <v>48</v>
      </c>
      <c r="L486">
        <v>0.1</v>
      </c>
      <c r="M486" s="1" t="s">
        <v>23</v>
      </c>
      <c r="N486" s="1" t="s">
        <v>36</v>
      </c>
      <c r="O486">
        <v>48</v>
      </c>
      <c r="P486">
        <v>229.5</v>
      </c>
      <c r="Q486">
        <v>144</v>
      </c>
      <c r="R486">
        <v>85.5</v>
      </c>
      <c r="S486">
        <v>0.37254901960784298</v>
      </c>
    </row>
    <row r="487" spans="1:19" x14ac:dyDescent="0.3">
      <c r="A487" s="1" t="s">
        <v>890</v>
      </c>
      <c r="B487" s="7">
        <f>MONTH(Clean_Sales[[#This Row],[Order_Date]])</f>
        <v>1</v>
      </c>
      <c r="C487" s="6">
        <v>46034</v>
      </c>
      <c r="D487" s="1" t="s">
        <v>624</v>
      </c>
      <c r="E487" s="1" t="s">
        <v>124</v>
      </c>
      <c r="F487" s="1" t="s">
        <v>29</v>
      </c>
      <c r="G487" s="1" t="s">
        <v>30</v>
      </c>
      <c r="H487" s="1" t="s">
        <v>31</v>
      </c>
      <c r="I487">
        <v>2</v>
      </c>
      <c r="J487">
        <v>280</v>
      </c>
      <c r="K487">
        <v>190</v>
      </c>
      <c r="L487">
        <v>0</v>
      </c>
      <c r="M487" s="1" t="s">
        <v>46</v>
      </c>
      <c r="N487" s="1" t="s">
        <v>36</v>
      </c>
      <c r="O487">
        <v>190</v>
      </c>
      <c r="P487">
        <v>560</v>
      </c>
      <c r="Q487">
        <v>380</v>
      </c>
      <c r="R487">
        <v>180</v>
      </c>
      <c r="S487">
        <v>0.32142857142857101</v>
      </c>
    </row>
    <row r="488" spans="1:19" x14ac:dyDescent="0.3">
      <c r="A488" s="1" t="s">
        <v>892</v>
      </c>
      <c r="B488" s="7">
        <f>MONTH(Clean_Sales[[#This Row],[Order_Date]])</f>
        <v>5</v>
      </c>
      <c r="C488" s="6">
        <v>46157</v>
      </c>
      <c r="D488" s="1" t="s">
        <v>302</v>
      </c>
      <c r="E488" s="1" t="s">
        <v>50</v>
      </c>
      <c r="F488" s="1" t="s">
        <v>29</v>
      </c>
      <c r="G488" s="1" t="s">
        <v>30</v>
      </c>
      <c r="H488" s="1" t="s">
        <v>31</v>
      </c>
      <c r="I488">
        <v>6</v>
      </c>
      <c r="J488">
        <v>280</v>
      </c>
      <c r="K488">
        <v>190</v>
      </c>
      <c r="L488">
        <v>0.05</v>
      </c>
      <c r="M488" s="1" t="s">
        <v>23</v>
      </c>
      <c r="N488" s="1" t="s">
        <v>36</v>
      </c>
      <c r="O488">
        <v>190</v>
      </c>
      <c r="P488">
        <v>1596</v>
      </c>
      <c r="Q488">
        <v>1140</v>
      </c>
      <c r="R488">
        <v>456</v>
      </c>
      <c r="S488">
        <v>0.28571428571428598</v>
      </c>
    </row>
    <row r="489" spans="1:19" x14ac:dyDescent="0.3">
      <c r="A489" s="1" t="s">
        <v>893</v>
      </c>
      <c r="B489" s="7">
        <f>MONTH(Clean_Sales[[#This Row],[Order_Date]])</f>
        <v>5</v>
      </c>
      <c r="C489" s="6">
        <v>46163</v>
      </c>
      <c r="D489" s="1" t="s">
        <v>579</v>
      </c>
      <c r="E489" s="1" t="s">
        <v>124</v>
      </c>
      <c r="F489" s="1" t="s">
        <v>17</v>
      </c>
      <c r="G489" s="1" t="s">
        <v>18</v>
      </c>
      <c r="H489" s="1" t="s">
        <v>74</v>
      </c>
      <c r="I489">
        <v>5</v>
      </c>
      <c r="J489">
        <v>25</v>
      </c>
      <c r="K489">
        <v>12</v>
      </c>
      <c r="L489">
        <v>0.1</v>
      </c>
      <c r="M489" s="1" t="s">
        <v>23</v>
      </c>
      <c r="N489" s="1" t="s">
        <v>36</v>
      </c>
      <c r="O489">
        <v>12</v>
      </c>
      <c r="P489">
        <v>112.5</v>
      </c>
      <c r="Q489">
        <v>60</v>
      </c>
      <c r="R489">
        <v>52.5</v>
      </c>
      <c r="S489">
        <v>0.46666666666666701</v>
      </c>
    </row>
    <row r="490" spans="1:19" x14ac:dyDescent="0.3">
      <c r="A490" s="1" t="s">
        <v>894</v>
      </c>
      <c r="B490" s="7">
        <f>MONTH(Clean_Sales[[#This Row],[Order_Date]])</f>
        <v>2</v>
      </c>
      <c r="C490" s="6">
        <v>46063</v>
      </c>
      <c r="D490" s="1" t="s">
        <v>79</v>
      </c>
      <c r="E490" s="1" t="s">
        <v>28</v>
      </c>
      <c r="F490" s="1" t="s">
        <v>72</v>
      </c>
      <c r="G490" s="1" t="s">
        <v>73</v>
      </c>
      <c r="H490" s="1" t="s">
        <v>74</v>
      </c>
      <c r="I490">
        <v>7</v>
      </c>
      <c r="J490">
        <v>65</v>
      </c>
      <c r="K490">
        <v>35</v>
      </c>
      <c r="L490">
        <v>0.05</v>
      </c>
      <c r="M490" s="1" t="s">
        <v>46</v>
      </c>
      <c r="N490" s="1" t="s">
        <v>36</v>
      </c>
      <c r="O490">
        <v>35</v>
      </c>
      <c r="P490">
        <v>432.25</v>
      </c>
      <c r="Q490">
        <v>245</v>
      </c>
      <c r="R490">
        <v>187.25</v>
      </c>
      <c r="S490">
        <v>0.43319838056680199</v>
      </c>
    </row>
    <row r="491" spans="1:19" x14ac:dyDescent="0.3">
      <c r="A491" s="1" t="s">
        <v>895</v>
      </c>
      <c r="B491" s="7">
        <f>MONTH(Clean_Sales[[#This Row],[Order_Date]])</f>
        <v>2</v>
      </c>
      <c r="C491" s="6">
        <v>46062</v>
      </c>
      <c r="D491" s="1" t="s">
        <v>279</v>
      </c>
      <c r="E491" s="1" t="s">
        <v>59</v>
      </c>
      <c r="F491" s="1" t="s">
        <v>17</v>
      </c>
      <c r="G491" s="1" t="s">
        <v>18</v>
      </c>
      <c r="H491" s="1" t="s">
        <v>74</v>
      </c>
      <c r="I491">
        <v>1</v>
      </c>
      <c r="J491">
        <v>25</v>
      </c>
      <c r="K491">
        <v>12</v>
      </c>
      <c r="L491">
        <v>0.05</v>
      </c>
      <c r="M491" s="1" t="s">
        <v>23</v>
      </c>
      <c r="N491" s="1" t="s">
        <v>36</v>
      </c>
      <c r="O491">
        <v>12</v>
      </c>
      <c r="P491">
        <v>23.75</v>
      </c>
      <c r="Q491">
        <v>12</v>
      </c>
      <c r="R491">
        <v>11.75</v>
      </c>
      <c r="S491">
        <v>0.49473684210526298</v>
      </c>
    </row>
    <row r="492" spans="1:19" x14ac:dyDescent="0.3">
      <c r="A492" s="1" t="s">
        <v>896</v>
      </c>
      <c r="B492" s="7">
        <f>MONTH(Clean_Sales[[#This Row],[Order_Date]])</f>
        <v>2</v>
      </c>
      <c r="C492" s="6">
        <v>46080</v>
      </c>
      <c r="D492" s="1" t="s">
        <v>345</v>
      </c>
      <c r="E492" s="1" t="s">
        <v>50</v>
      </c>
      <c r="F492" s="1" t="s">
        <v>72</v>
      </c>
      <c r="G492" s="1" t="s">
        <v>73</v>
      </c>
      <c r="H492" s="1" t="s">
        <v>74</v>
      </c>
      <c r="I492">
        <v>1</v>
      </c>
      <c r="J492">
        <v>65</v>
      </c>
      <c r="K492">
        <v>35</v>
      </c>
      <c r="L492">
        <v>0</v>
      </c>
      <c r="M492" s="1" t="s">
        <v>46</v>
      </c>
      <c r="N492" s="1" t="s">
        <v>36</v>
      </c>
      <c r="O492">
        <v>35</v>
      </c>
      <c r="P492">
        <v>65</v>
      </c>
      <c r="Q492">
        <v>35</v>
      </c>
      <c r="R492">
        <v>30</v>
      </c>
      <c r="S492">
        <v>0.46153846153846201</v>
      </c>
    </row>
    <row r="493" spans="1:19" x14ac:dyDescent="0.3">
      <c r="A493" s="1" t="s">
        <v>897</v>
      </c>
      <c r="B493" s="7">
        <f>MONTH(Clean_Sales[[#This Row],[Order_Date]])</f>
        <v>6</v>
      </c>
      <c r="C493" s="6">
        <v>46186</v>
      </c>
      <c r="D493" s="1" t="s">
        <v>148</v>
      </c>
      <c r="E493" s="1" t="s">
        <v>28</v>
      </c>
      <c r="F493" s="1" t="s">
        <v>17</v>
      </c>
      <c r="G493" s="1" t="s">
        <v>18</v>
      </c>
      <c r="H493" s="1" t="s">
        <v>74</v>
      </c>
      <c r="I493">
        <v>4</v>
      </c>
      <c r="J493">
        <v>25</v>
      </c>
      <c r="K493">
        <v>12</v>
      </c>
      <c r="L493">
        <v>0.15</v>
      </c>
      <c r="M493" s="1" t="s">
        <v>23</v>
      </c>
      <c r="N493" s="1" t="s">
        <v>36</v>
      </c>
      <c r="O493">
        <v>12</v>
      </c>
      <c r="P493">
        <v>85</v>
      </c>
      <c r="Q493">
        <v>48</v>
      </c>
      <c r="R493">
        <v>37</v>
      </c>
      <c r="S493">
        <v>0.435294117647059</v>
      </c>
    </row>
    <row r="494" spans="1:19" x14ac:dyDescent="0.3">
      <c r="A494" s="1" t="s">
        <v>898</v>
      </c>
      <c r="B494" s="7">
        <f>MONTH(Clean_Sales[[#This Row],[Order_Date]])</f>
        <v>4</v>
      </c>
      <c r="C494" s="6">
        <v>46139</v>
      </c>
      <c r="D494" s="1" t="s">
        <v>137</v>
      </c>
      <c r="E494" s="1" t="s">
        <v>124</v>
      </c>
      <c r="F494" s="1" t="s">
        <v>106</v>
      </c>
      <c r="G494" s="1" t="s">
        <v>107</v>
      </c>
      <c r="H494" s="1" t="s">
        <v>31</v>
      </c>
      <c r="I494">
        <v>8</v>
      </c>
      <c r="J494">
        <v>190</v>
      </c>
      <c r="K494">
        <v>115</v>
      </c>
      <c r="L494">
        <v>0.05</v>
      </c>
      <c r="M494" s="1" t="s">
        <v>23</v>
      </c>
      <c r="N494" s="1" t="s">
        <v>36</v>
      </c>
      <c r="O494">
        <v>115</v>
      </c>
      <c r="P494">
        <v>1444</v>
      </c>
      <c r="Q494">
        <v>920</v>
      </c>
      <c r="R494">
        <v>524</v>
      </c>
      <c r="S494">
        <v>0.362880886426593</v>
      </c>
    </row>
    <row r="495" spans="1:19" x14ac:dyDescent="0.3">
      <c r="A495" s="1" t="s">
        <v>899</v>
      </c>
      <c r="B495" s="7">
        <f>MONTH(Clean_Sales[[#This Row],[Order_Date]])</f>
        <v>1</v>
      </c>
      <c r="C495" s="6">
        <v>46033</v>
      </c>
      <c r="D495" s="1" t="s">
        <v>536</v>
      </c>
      <c r="E495" s="1" t="s">
        <v>28</v>
      </c>
      <c r="F495" s="1" t="s">
        <v>29</v>
      </c>
      <c r="G495" s="1" t="s">
        <v>30</v>
      </c>
      <c r="H495" s="1" t="s">
        <v>31</v>
      </c>
      <c r="I495">
        <v>6</v>
      </c>
      <c r="J495">
        <v>280</v>
      </c>
      <c r="K495">
        <v>190</v>
      </c>
      <c r="L495">
        <v>0.05</v>
      </c>
      <c r="M495" s="1" t="s">
        <v>46</v>
      </c>
      <c r="N495" s="1" t="s">
        <v>36</v>
      </c>
      <c r="O495">
        <v>190</v>
      </c>
      <c r="P495">
        <v>1596</v>
      </c>
      <c r="Q495">
        <v>1140</v>
      </c>
      <c r="R495">
        <v>456</v>
      </c>
      <c r="S495">
        <v>0.28571428571428598</v>
      </c>
    </row>
    <row r="496" spans="1:19" x14ac:dyDescent="0.3">
      <c r="A496" s="1" t="s">
        <v>900</v>
      </c>
      <c r="B496" s="7">
        <f>MONTH(Clean_Sales[[#This Row],[Order_Date]])</f>
        <v>1</v>
      </c>
      <c r="C496" s="6">
        <v>46037</v>
      </c>
      <c r="D496" s="1" t="s">
        <v>132</v>
      </c>
      <c r="E496" s="1" t="s">
        <v>124</v>
      </c>
      <c r="F496" s="1" t="s">
        <v>40</v>
      </c>
      <c r="G496" s="1" t="s">
        <v>41</v>
      </c>
      <c r="H496" s="1" t="s">
        <v>42</v>
      </c>
      <c r="I496">
        <v>1</v>
      </c>
      <c r="J496">
        <v>1250</v>
      </c>
      <c r="K496">
        <v>940</v>
      </c>
      <c r="L496">
        <v>0.1</v>
      </c>
      <c r="M496" s="1" t="s">
        <v>23</v>
      </c>
      <c r="N496" s="1" t="s">
        <v>36</v>
      </c>
      <c r="O496">
        <v>940</v>
      </c>
      <c r="P496">
        <v>1125</v>
      </c>
      <c r="Q496">
        <v>940</v>
      </c>
      <c r="R496">
        <v>185</v>
      </c>
      <c r="S496">
        <v>0.164444444444444</v>
      </c>
    </row>
    <row r="497" spans="1:19" x14ac:dyDescent="0.3">
      <c r="A497" s="1" t="s">
        <v>901</v>
      </c>
      <c r="B497" s="7">
        <f>MONTH(Clean_Sales[[#This Row],[Order_Date]])</f>
        <v>5</v>
      </c>
      <c r="C497" s="6">
        <v>46155</v>
      </c>
      <c r="D497" s="1" t="s">
        <v>425</v>
      </c>
      <c r="E497" s="1" t="s">
        <v>28</v>
      </c>
      <c r="F497" s="1" t="s">
        <v>29</v>
      </c>
      <c r="G497" s="1" t="s">
        <v>30</v>
      </c>
      <c r="H497" s="1" t="s">
        <v>31</v>
      </c>
      <c r="I497">
        <v>8</v>
      </c>
      <c r="J497">
        <v>280</v>
      </c>
      <c r="K497">
        <v>190</v>
      </c>
      <c r="L497">
        <v>0.05</v>
      </c>
      <c r="M497" s="1" t="s">
        <v>23</v>
      </c>
      <c r="N497" s="1" t="s">
        <v>36</v>
      </c>
      <c r="O497">
        <v>190</v>
      </c>
      <c r="P497">
        <v>2128</v>
      </c>
      <c r="Q497">
        <v>1520</v>
      </c>
      <c r="R497">
        <v>608</v>
      </c>
      <c r="S497">
        <v>0.28571428571428598</v>
      </c>
    </row>
    <row r="498" spans="1:19" x14ac:dyDescent="0.3">
      <c r="A498" s="1" t="s">
        <v>903</v>
      </c>
      <c r="B498" s="7">
        <f>MONTH(Clean_Sales[[#This Row],[Order_Date]])</f>
        <v>6</v>
      </c>
      <c r="C498" s="6">
        <v>46174</v>
      </c>
      <c r="D498" s="1" t="s">
        <v>416</v>
      </c>
      <c r="E498" s="1" t="s">
        <v>59</v>
      </c>
      <c r="F498" s="1" t="s">
        <v>89</v>
      </c>
      <c r="G498" s="1" t="s">
        <v>90</v>
      </c>
      <c r="H498" s="1" t="s">
        <v>74</v>
      </c>
      <c r="I498">
        <v>6</v>
      </c>
      <c r="J498">
        <v>85</v>
      </c>
      <c r="K498">
        <v>48</v>
      </c>
      <c r="L498">
        <v>0</v>
      </c>
      <c r="M498" s="1" t="s">
        <v>46</v>
      </c>
      <c r="N498" s="1" t="s">
        <v>36</v>
      </c>
      <c r="O498">
        <v>48</v>
      </c>
      <c r="P498">
        <v>510</v>
      </c>
      <c r="Q498">
        <v>288</v>
      </c>
      <c r="R498">
        <v>222</v>
      </c>
      <c r="S498">
        <v>0.435294117647059</v>
      </c>
    </row>
    <row r="499" spans="1:19" x14ac:dyDescent="0.3">
      <c r="A499" s="1" t="s">
        <v>904</v>
      </c>
      <c r="B499" s="7">
        <f>MONTH(Clean_Sales[[#This Row],[Order_Date]])</f>
        <v>5</v>
      </c>
      <c r="C499" s="6">
        <v>46170</v>
      </c>
      <c r="D499" s="1" t="s">
        <v>185</v>
      </c>
      <c r="E499" s="1" t="s">
        <v>124</v>
      </c>
      <c r="F499" s="1" t="s">
        <v>29</v>
      </c>
      <c r="G499" s="1" t="s">
        <v>30</v>
      </c>
      <c r="H499" s="1" t="s">
        <v>31</v>
      </c>
      <c r="I499">
        <v>2</v>
      </c>
      <c r="J499">
        <v>280</v>
      </c>
      <c r="K499">
        <v>190</v>
      </c>
      <c r="L499">
        <v>0.1</v>
      </c>
      <c r="M499" s="1" t="s">
        <v>46</v>
      </c>
      <c r="N499" s="1" t="s">
        <v>36</v>
      </c>
      <c r="O499">
        <v>190</v>
      </c>
      <c r="P499">
        <v>504</v>
      </c>
      <c r="Q499">
        <v>380</v>
      </c>
      <c r="R499">
        <v>124</v>
      </c>
      <c r="S499">
        <v>0.24603174603174599</v>
      </c>
    </row>
    <row r="500" spans="1:19" x14ac:dyDescent="0.3">
      <c r="A500" s="1" t="s">
        <v>905</v>
      </c>
      <c r="B500" s="7">
        <f>MONTH(Clean_Sales[[#This Row],[Order_Date]])</f>
        <v>4</v>
      </c>
      <c r="C500" s="6">
        <v>46115</v>
      </c>
      <c r="D500" s="1" t="s">
        <v>15</v>
      </c>
      <c r="E500" s="1" t="s">
        <v>28</v>
      </c>
      <c r="F500" s="1" t="s">
        <v>106</v>
      </c>
      <c r="G500" s="1" t="s">
        <v>107</v>
      </c>
      <c r="H500" s="1" t="s">
        <v>31</v>
      </c>
      <c r="I500">
        <v>6</v>
      </c>
      <c r="J500">
        <v>190</v>
      </c>
      <c r="K500">
        <v>115</v>
      </c>
      <c r="L500">
        <v>0.1</v>
      </c>
      <c r="M500" s="1" t="s">
        <v>23</v>
      </c>
      <c r="N500" s="1" t="s">
        <v>36</v>
      </c>
      <c r="O500">
        <v>115</v>
      </c>
      <c r="P500">
        <v>1026</v>
      </c>
      <c r="Q500">
        <v>690</v>
      </c>
      <c r="R500">
        <v>336</v>
      </c>
      <c r="S500">
        <v>0.32748538011695899</v>
      </c>
    </row>
    <row r="501" spans="1:19" x14ac:dyDescent="0.3">
      <c r="A501" s="1" t="s">
        <v>906</v>
      </c>
      <c r="B501" s="7">
        <f>MONTH(Clean_Sales[[#This Row],[Order_Date]])</f>
        <v>1</v>
      </c>
      <c r="C501" s="6">
        <v>46045</v>
      </c>
      <c r="D501" s="1" t="s">
        <v>148</v>
      </c>
      <c r="E501" s="1" t="s">
        <v>28</v>
      </c>
      <c r="F501" s="1" t="s">
        <v>51</v>
      </c>
      <c r="G501" s="1" t="s">
        <v>52</v>
      </c>
      <c r="H501" s="1" t="s">
        <v>42</v>
      </c>
      <c r="I501">
        <v>3</v>
      </c>
      <c r="J501">
        <v>310</v>
      </c>
      <c r="K501">
        <v>220</v>
      </c>
      <c r="L501">
        <v>0.15</v>
      </c>
      <c r="M501" s="1" t="s">
        <v>23</v>
      </c>
      <c r="N501" s="1" t="s">
        <v>36</v>
      </c>
      <c r="O501">
        <v>220</v>
      </c>
      <c r="P501">
        <v>790.5</v>
      </c>
      <c r="Q501">
        <v>660</v>
      </c>
      <c r="R501">
        <v>130.5</v>
      </c>
      <c r="S501">
        <v>0.165085388994307</v>
      </c>
    </row>
    <row r="502" spans="1:19" x14ac:dyDescent="0.3">
      <c r="A502" s="1" t="s">
        <v>907</v>
      </c>
      <c r="B502" s="7">
        <f>MONTH(Clean_Sales[[#This Row],[Order_Date]])</f>
        <v>1</v>
      </c>
      <c r="C502" s="6">
        <v>46052</v>
      </c>
      <c r="D502" s="1" t="s">
        <v>105</v>
      </c>
      <c r="E502" s="1" t="s">
        <v>50</v>
      </c>
      <c r="F502" s="1" t="s">
        <v>64</v>
      </c>
      <c r="G502" s="1" t="s">
        <v>65</v>
      </c>
      <c r="H502" s="1" t="s">
        <v>42</v>
      </c>
      <c r="I502">
        <v>4</v>
      </c>
      <c r="J502">
        <v>360</v>
      </c>
      <c r="L502">
        <v>0.1</v>
      </c>
      <c r="M502" s="1" t="s">
        <v>46</v>
      </c>
      <c r="N502" s="1" t="s">
        <v>36</v>
      </c>
      <c r="O502">
        <v>250</v>
      </c>
      <c r="P502">
        <v>1296</v>
      </c>
      <c r="Q502">
        <v>1000</v>
      </c>
      <c r="R502">
        <v>296</v>
      </c>
      <c r="S502">
        <v>0.22839506172839499</v>
      </c>
    </row>
    <row r="503" spans="1:19" x14ac:dyDescent="0.3">
      <c r="A503" s="1" t="s">
        <v>908</v>
      </c>
      <c r="B503" s="7">
        <f>MONTH(Clean_Sales[[#This Row],[Order_Date]])</f>
        <v>3</v>
      </c>
      <c r="C503" s="6">
        <v>46108</v>
      </c>
      <c r="D503" s="1" t="s">
        <v>536</v>
      </c>
      <c r="E503" s="1" t="s">
        <v>124</v>
      </c>
      <c r="F503" s="1" t="s">
        <v>29</v>
      </c>
      <c r="G503" s="1" t="s">
        <v>30</v>
      </c>
      <c r="H503" s="1" t="s">
        <v>31</v>
      </c>
      <c r="I503">
        <v>6</v>
      </c>
      <c r="J503">
        <v>280</v>
      </c>
      <c r="K503">
        <v>190</v>
      </c>
      <c r="L503">
        <v>0.1</v>
      </c>
      <c r="M503" s="1" t="s">
        <v>46</v>
      </c>
      <c r="N503" s="1" t="s">
        <v>36</v>
      </c>
      <c r="O503">
        <v>190</v>
      </c>
      <c r="P503">
        <v>1512</v>
      </c>
      <c r="Q503">
        <v>1140</v>
      </c>
      <c r="R503">
        <v>372</v>
      </c>
      <c r="S503">
        <v>0.24603174603174599</v>
      </c>
    </row>
    <row r="504" spans="1:19" x14ac:dyDescent="0.3">
      <c r="A504" s="1" t="s">
        <v>909</v>
      </c>
      <c r="B504" s="7">
        <f>MONTH(Clean_Sales[[#This Row],[Order_Date]])</f>
        <v>3</v>
      </c>
      <c r="C504" s="6">
        <v>46087</v>
      </c>
      <c r="D504" s="1" t="s">
        <v>743</v>
      </c>
      <c r="E504" s="1" t="s">
        <v>28</v>
      </c>
      <c r="F504" s="1" t="s">
        <v>17</v>
      </c>
      <c r="G504" s="1" t="s">
        <v>18</v>
      </c>
      <c r="H504" s="1" t="s">
        <v>74</v>
      </c>
      <c r="I504">
        <v>4</v>
      </c>
      <c r="J504">
        <v>25</v>
      </c>
      <c r="K504">
        <v>12</v>
      </c>
      <c r="L504">
        <v>0.1</v>
      </c>
      <c r="M504" s="1" t="s">
        <v>46</v>
      </c>
      <c r="N504" s="1" t="s">
        <v>36</v>
      </c>
      <c r="O504">
        <v>12</v>
      </c>
      <c r="P504">
        <v>90</v>
      </c>
      <c r="Q504">
        <v>48</v>
      </c>
      <c r="R504">
        <v>42</v>
      </c>
      <c r="S504">
        <v>0.46666666666666701</v>
      </c>
    </row>
    <row r="505" spans="1:19" x14ac:dyDescent="0.3">
      <c r="A505" s="1" t="s">
        <v>910</v>
      </c>
      <c r="B505" s="7">
        <f>MONTH(Clean_Sales[[#This Row],[Order_Date]])</f>
        <v>5</v>
      </c>
      <c r="C505" s="6">
        <v>46151</v>
      </c>
      <c r="D505" s="1" t="s">
        <v>159</v>
      </c>
      <c r="E505" s="1" t="s">
        <v>28</v>
      </c>
      <c r="F505" s="1" t="s">
        <v>40</v>
      </c>
      <c r="G505" s="1" t="s">
        <v>41</v>
      </c>
      <c r="H505" s="1" t="s">
        <v>42</v>
      </c>
      <c r="I505">
        <v>1</v>
      </c>
      <c r="J505">
        <v>1250</v>
      </c>
      <c r="K505">
        <v>940</v>
      </c>
      <c r="L505">
        <v>0</v>
      </c>
      <c r="M505" s="1" t="s">
        <v>46</v>
      </c>
      <c r="N505" s="1" t="s">
        <v>36</v>
      </c>
      <c r="O505">
        <v>940</v>
      </c>
      <c r="P505">
        <v>1250</v>
      </c>
      <c r="Q505">
        <v>940</v>
      </c>
      <c r="R505">
        <v>310</v>
      </c>
      <c r="S505">
        <v>0.248</v>
      </c>
    </row>
    <row r="506" spans="1:19" x14ac:dyDescent="0.3">
      <c r="A506" s="1" t="s">
        <v>911</v>
      </c>
      <c r="B506" s="7">
        <f>MONTH(Clean_Sales[[#This Row],[Order_Date]])</f>
        <v>2</v>
      </c>
      <c r="C506" s="6">
        <v>46067</v>
      </c>
      <c r="D506" s="1" t="s">
        <v>308</v>
      </c>
      <c r="E506" s="1" t="s">
        <v>28</v>
      </c>
      <c r="F506" s="1" t="s">
        <v>64</v>
      </c>
      <c r="G506" s="1" t="s">
        <v>65</v>
      </c>
      <c r="H506" s="1" t="s">
        <v>42</v>
      </c>
      <c r="I506">
        <v>2</v>
      </c>
      <c r="J506">
        <v>360</v>
      </c>
      <c r="K506">
        <v>250</v>
      </c>
      <c r="L506">
        <v>0</v>
      </c>
      <c r="M506" s="1" t="s">
        <v>46</v>
      </c>
      <c r="N506" s="1" t="s">
        <v>36</v>
      </c>
      <c r="O506">
        <v>250</v>
      </c>
      <c r="P506">
        <v>720</v>
      </c>
      <c r="Q506">
        <v>500</v>
      </c>
      <c r="R506">
        <v>220</v>
      </c>
      <c r="S506">
        <v>0.30555555555555602</v>
      </c>
    </row>
    <row r="507" spans="1:19" x14ac:dyDescent="0.3">
      <c r="A507" s="1" t="s">
        <v>912</v>
      </c>
      <c r="B507" s="7">
        <f>MONTH(Clean_Sales[[#This Row],[Order_Date]])</f>
        <v>5</v>
      </c>
      <c r="C507" s="6">
        <v>46166</v>
      </c>
      <c r="D507" s="1" t="s">
        <v>382</v>
      </c>
      <c r="E507" s="1" t="s">
        <v>28</v>
      </c>
      <c r="F507" s="1" t="s">
        <v>89</v>
      </c>
      <c r="G507" s="1" t="s">
        <v>90</v>
      </c>
      <c r="H507" s="1" t="s">
        <v>74</v>
      </c>
      <c r="I507">
        <v>4</v>
      </c>
      <c r="J507">
        <v>85</v>
      </c>
      <c r="K507">
        <v>48</v>
      </c>
      <c r="L507">
        <v>0</v>
      </c>
      <c r="M507" s="1" t="s">
        <v>46</v>
      </c>
      <c r="N507" s="1" t="s">
        <v>36</v>
      </c>
      <c r="O507">
        <v>48</v>
      </c>
      <c r="P507">
        <v>340</v>
      </c>
      <c r="Q507">
        <v>192</v>
      </c>
      <c r="R507">
        <v>148</v>
      </c>
      <c r="S507">
        <v>0.435294117647059</v>
      </c>
    </row>
    <row r="508" spans="1:19" x14ac:dyDescent="0.3">
      <c r="A508" s="1" t="s">
        <v>913</v>
      </c>
      <c r="B508" s="7">
        <f>MONTH(Clean_Sales[[#This Row],[Order_Date]])</f>
        <v>4</v>
      </c>
      <c r="C508" s="6">
        <v>46135</v>
      </c>
      <c r="D508" s="1" t="s">
        <v>191</v>
      </c>
      <c r="E508" s="1" t="s">
        <v>124</v>
      </c>
      <c r="F508" s="1" t="s">
        <v>64</v>
      </c>
      <c r="G508" s="1" t="s">
        <v>65</v>
      </c>
      <c r="H508" s="1" t="s">
        <v>42</v>
      </c>
      <c r="I508">
        <v>3</v>
      </c>
      <c r="J508">
        <v>360</v>
      </c>
      <c r="K508">
        <v>250</v>
      </c>
      <c r="L508">
        <v>0.1</v>
      </c>
      <c r="M508" s="1" t="s">
        <v>46</v>
      </c>
      <c r="N508" s="1" t="s">
        <v>36</v>
      </c>
      <c r="O508">
        <v>250</v>
      </c>
      <c r="P508">
        <v>972</v>
      </c>
      <c r="Q508">
        <v>750</v>
      </c>
      <c r="R508">
        <v>222</v>
      </c>
      <c r="S508">
        <v>0.22839506172839499</v>
      </c>
    </row>
    <row r="509" spans="1:19" x14ac:dyDescent="0.3">
      <c r="A509" s="1" t="s">
        <v>914</v>
      </c>
      <c r="B509" s="7">
        <f>MONTH(Clean_Sales[[#This Row],[Order_Date]])</f>
        <v>6</v>
      </c>
      <c r="C509" s="6">
        <v>46180</v>
      </c>
      <c r="D509" s="1" t="s">
        <v>528</v>
      </c>
      <c r="E509" s="1" t="s">
        <v>50</v>
      </c>
      <c r="F509" s="1" t="s">
        <v>64</v>
      </c>
      <c r="G509" s="1" t="s">
        <v>65</v>
      </c>
      <c r="H509" s="1" t="s">
        <v>42</v>
      </c>
      <c r="I509">
        <v>7</v>
      </c>
      <c r="J509">
        <v>360</v>
      </c>
      <c r="K509">
        <v>250</v>
      </c>
      <c r="L509">
        <v>0.15</v>
      </c>
      <c r="M509" s="1" t="s">
        <v>23</v>
      </c>
      <c r="N509" s="1" t="s">
        <v>36</v>
      </c>
      <c r="O509">
        <v>250</v>
      </c>
      <c r="P509">
        <v>2142</v>
      </c>
      <c r="Q509">
        <v>1750</v>
      </c>
      <c r="R509">
        <v>392</v>
      </c>
      <c r="S509">
        <v>0.18300653594771199</v>
      </c>
    </row>
    <row r="510" spans="1:19" x14ac:dyDescent="0.3">
      <c r="A510" s="1" t="s">
        <v>915</v>
      </c>
      <c r="B510" s="7">
        <f>MONTH(Clean_Sales[[#This Row],[Order_Date]])</f>
        <v>6</v>
      </c>
      <c r="C510" s="6">
        <v>46201</v>
      </c>
      <c r="D510" s="1" t="s">
        <v>159</v>
      </c>
      <c r="E510" s="1" t="s">
        <v>28</v>
      </c>
      <c r="F510" s="1" t="s">
        <v>29</v>
      </c>
      <c r="G510" s="1" t="s">
        <v>30</v>
      </c>
      <c r="H510" s="1" t="s">
        <v>31</v>
      </c>
      <c r="I510">
        <v>6</v>
      </c>
      <c r="J510">
        <v>280</v>
      </c>
      <c r="K510">
        <v>190</v>
      </c>
      <c r="L510">
        <v>0.05</v>
      </c>
      <c r="M510" s="1" t="s">
        <v>46</v>
      </c>
      <c r="N510" s="1" t="s">
        <v>36</v>
      </c>
      <c r="O510">
        <v>190</v>
      </c>
      <c r="P510">
        <v>1596</v>
      </c>
      <c r="Q510">
        <v>1140</v>
      </c>
      <c r="R510">
        <v>456</v>
      </c>
      <c r="S510">
        <v>0.28571428571428598</v>
      </c>
    </row>
    <row r="511" spans="1:19" x14ac:dyDescent="0.3">
      <c r="A511" s="1" t="s">
        <v>916</v>
      </c>
      <c r="B511" s="7">
        <f>MONTH(Clean_Sales[[#This Row],[Order_Date]])</f>
        <v>2</v>
      </c>
      <c r="C511" s="6">
        <v>46077</v>
      </c>
      <c r="D511" s="1" t="s">
        <v>331</v>
      </c>
      <c r="E511" s="1" t="s">
        <v>124</v>
      </c>
      <c r="F511" s="1" t="s">
        <v>40</v>
      </c>
      <c r="G511" s="1" t="s">
        <v>41</v>
      </c>
      <c r="H511" s="1" t="s">
        <v>42</v>
      </c>
      <c r="I511">
        <v>7</v>
      </c>
      <c r="J511">
        <v>1250</v>
      </c>
      <c r="K511">
        <v>940</v>
      </c>
      <c r="L511">
        <v>0.1</v>
      </c>
      <c r="M511" s="1" t="s">
        <v>23</v>
      </c>
      <c r="N511" s="1" t="s">
        <v>36</v>
      </c>
      <c r="O511">
        <v>940</v>
      </c>
      <c r="P511">
        <v>7875</v>
      </c>
      <c r="Q511">
        <v>6580</v>
      </c>
      <c r="R511">
        <v>1295</v>
      </c>
      <c r="S511">
        <v>0.164444444444444</v>
      </c>
    </row>
    <row r="512" spans="1:19" x14ac:dyDescent="0.3">
      <c r="A512" s="1" t="s">
        <v>917</v>
      </c>
      <c r="B512" s="7">
        <f>MONTH(Clean_Sales[[#This Row],[Order_Date]])</f>
        <v>4</v>
      </c>
      <c r="C512" s="6">
        <v>46130</v>
      </c>
      <c r="D512" s="1" t="s">
        <v>152</v>
      </c>
      <c r="E512" s="1" t="s">
        <v>59</v>
      </c>
      <c r="F512" s="1" t="s">
        <v>64</v>
      </c>
      <c r="G512" s="1" t="s">
        <v>65</v>
      </c>
      <c r="H512" s="1" t="s">
        <v>42</v>
      </c>
      <c r="I512">
        <v>8</v>
      </c>
      <c r="J512">
        <v>360</v>
      </c>
      <c r="K512">
        <v>250</v>
      </c>
      <c r="L512">
        <v>0</v>
      </c>
      <c r="M512" s="1" t="s">
        <v>23</v>
      </c>
      <c r="N512" s="1" t="s">
        <v>36</v>
      </c>
      <c r="O512">
        <v>250</v>
      </c>
      <c r="P512">
        <v>2880</v>
      </c>
      <c r="Q512">
        <v>2000</v>
      </c>
      <c r="R512">
        <v>880</v>
      </c>
      <c r="S512">
        <v>0.30555555555555602</v>
      </c>
    </row>
    <row r="513" spans="1:19" x14ac:dyDescent="0.3">
      <c r="A513" s="1" t="s">
        <v>918</v>
      </c>
      <c r="B513" s="7">
        <f>MONTH(Clean_Sales[[#This Row],[Order_Date]])</f>
        <v>5</v>
      </c>
      <c r="C513" s="6">
        <v>46161</v>
      </c>
      <c r="D513" s="1" t="s">
        <v>677</v>
      </c>
      <c r="E513" s="1" t="s">
        <v>124</v>
      </c>
      <c r="F513" s="1" t="s">
        <v>17</v>
      </c>
      <c r="G513" s="1" t="s">
        <v>18</v>
      </c>
      <c r="H513" s="1" t="s">
        <v>74</v>
      </c>
      <c r="I513">
        <v>8</v>
      </c>
      <c r="J513">
        <v>25</v>
      </c>
      <c r="K513">
        <v>12</v>
      </c>
      <c r="L513">
        <v>0.05</v>
      </c>
      <c r="M513" s="1" t="s">
        <v>23</v>
      </c>
      <c r="N513" s="1" t="s">
        <v>36</v>
      </c>
      <c r="O513">
        <v>12</v>
      </c>
      <c r="P513">
        <v>190</v>
      </c>
      <c r="Q513">
        <v>96</v>
      </c>
      <c r="R513">
        <v>94</v>
      </c>
      <c r="S513">
        <v>0.49473684210526298</v>
      </c>
    </row>
    <row r="514" spans="1:19" x14ac:dyDescent="0.3">
      <c r="A514" s="1" t="s">
        <v>919</v>
      </c>
      <c r="B514" s="7">
        <f>MONTH(Clean_Sales[[#This Row],[Order_Date]])</f>
        <v>4</v>
      </c>
      <c r="C514" s="6">
        <v>46120</v>
      </c>
      <c r="D514" s="1" t="s">
        <v>478</v>
      </c>
      <c r="E514" s="1" t="s">
        <v>59</v>
      </c>
      <c r="F514" s="1" t="s">
        <v>17</v>
      </c>
      <c r="G514" s="1" t="s">
        <v>18</v>
      </c>
      <c r="H514" s="1" t="s">
        <v>74</v>
      </c>
      <c r="I514">
        <v>8</v>
      </c>
      <c r="J514">
        <v>25</v>
      </c>
      <c r="K514">
        <v>12</v>
      </c>
      <c r="L514">
        <v>0.05</v>
      </c>
      <c r="M514" s="1" t="s">
        <v>46</v>
      </c>
      <c r="N514" s="1" t="s">
        <v>36</v>
      </c>
      <c r="O514">
        <v>12</v>
      </c>
      <c r="P514">
        <v>190</v>
      </c>
      <c r="Q514">
        <v>96</v>
      </c>
      <c r="R514">
        <v>94</v>
      </c>
      <c r="S514">
        <v>0.49473684210526298</v>
      </c>
    </row>
    <row r="515" spans="1:19" x14ac:dyDescent="0.3">
      <c r="A515" s="1" t="s">
        <v>920</v>
      </c>
      <c r="B515" s="7">
        <f>MONTH(Clean_Sales[[#This Row],[Order_Date]])</f>
        <v>2</v>
      </c>
      <c r="C515" s="6">
        <v>46074</v>
      </c>
      <c r="D515" s="1" t="s">
        <v>243</v>
      </c>
      <c r="E515" s="1" t="s">
        <v>124</v>
      </c>
      <c r="F515" s="1" t="s">
        <v>64</v>
      </c>
      <c r="G515" s="1" t="s">
        <v>65</v>
      </c>
      <c r="H515" s="1" t="s">
        <v>42</v>
      </c>
      <c r="I515">
        <v>1</v>
      </c>
      <c r="J515">
        <v>360</v>
      </c>
      <c r="K515">
        <v>250</v>
      </c>
      <c r="L515">
        <v>0.05</v>
      </c>
      <c r="M515" s="1" t="s">
        <v>23</v>
      </c>
      <c r="N515" s="1" t="s">
        <v>36</v>
      </c>
      <c r="O515">
        <v>250</v>
      </c>
      <c r="P515">
        <v>342</v>
      </c>
      <c r="Q515">
        <v>250</v>
      </c>
      <c r="R515">
        <v>92</v>
      </c>
      <c r="S515">
        <v>0.26900584795321603</v>
      </c>
    </row>
    <row r="516" spans="1:19" x14ac:dyDescent="0.3">
      <c r="A516" s="1" t="s">
        <v>921</v>
      </c>
      <c r="B516" s="7">
        <f>MONTH(Clean_Sales[[#This Row],[Order_Date]])</f>
        <v>5</v>
      </c>
      <c r="C516" s="6">
        <v>46169</v>
      </c>
      <c r="D516" s="1" t="s">
        <v>478</v>
      </c>
      <c r="E516" s="1" t="s">
        <v>28</v>
      </c>
      <c r="F516" s="1" t="s">
        <v>40</v>
      </c>
      <c r="G516" s="1" t="s">
        <v>41</v>
      </c>
      <c r="H516" s="1" t="s">
        <v>42</v>
      </c>
      <c r="I516">
        <v>6</v>
      </c>
      <c r="J516">
        <v>1250</v>
      </c>
      <c r="K516">
        <v>940</v>
      </c>
      <c r="L516">
        <v>0.15</v>
      </c>
      <c r="M516" s="1" t="s">
        <v>46</v>
      </c>
      <c r="N516" s="1" t="s">
        <v>36</v>
      </c>
      <c r="O516">
        <v>940</v>
      </c>
      <c r="P516">
        <v>6375</v>
      </c>
      <c r="Q516">
        <v>5640</v>
      </c>
      <c r="R516">
        <v>735</v>
      </c>
      <c r="S516">
        <v>0.11529411764705901</v>
      </c>
    </row>
    <row r="517" spans="1:19" x14ac:dyDescent="0.3">
      <c r="A517" s="1" t="s">
        <v>922</v>
      </c>
      <c r="B517" s="7">
        <f>MONTH(Clean_Sales[[#This Row],[Order_Date]])</f>
        <v>2</v>
      </c>
      <c r="C517" s="6">
        <v>46079</v>
      </c>
      <c r="D517" s="1" t="s">
        <v>481</v>
      </c>
      <c r="E517" s="1" t="s">
        <v>50</v>
      </c>
      <c r="F517" s="1" t="s">
        <v>29</v>
      </c>
      <c r="G517" s="1" t="s">
        <v>30</v>
      </c>
      <c r="H517" s="1" t="s">
        <v>31</v>
      </c>
      <c r="I517">
        <v>3</v>
      </c>
      <c r="J517">
        <v>280</v>
      </c>
      <c r="K517">
        <v>190</v>
      </c>
      <c r="L517">
        <v>0.05</v>
      </c>
      <c r="M517" s="1" t="s">
        <v>46</v>
      </c>
      <c r="N517" s="1" t="s">
        <v>36</v>
      </c>
      <c r="O517">
        <v>190</v>
      </c>
      <c r="P517">
        <v>798</v>
      </c>
      <c r="Q517">
        <v>570</v>
      </c>
      <c r="R517">
        <v>228</v>
      </c>
      <c r="S517">
        <v>0.28571428571428598</v>
      </c>
    </row>
    <row r="518" spans="1:19" x14ac:dyDescent="0.3">
      <c r="A518" s="1" t="s">
        <v>923</v>
      </c>
      <c r="B518" s="7">
        <f>MONTH(Clean_Sales[[#This Row],[Order_Date]])</f>
        <v>3</v>
      </c>
      <c r="C518" s="6">
        <v>46084</v>
      </c>
      <c r="D518" s="1" t="s">
        <v>481</v>
      </c>
      <c r="E518" s="1" t="s">
        <v>28</v>
      </c>
      <c r="F518" s="1" t="s">
        <v>64</v>
      </c>
      <c r="G518" s="1" t="s">
        <v>65</v>
      </c>
      <c r="H518" s="1" t="s">
        <v>42</v>
      </c>
      <c r="I518">
        <v>7</v>
      </c>
      <c r="J518">
        <v>360</v>
      </c>
      <c r="K518">
        <v>250</v>
      </c>
      <c r="L518">
        <v>0.1</v>
      </c>
      <c r="M518" s="1" t="s">
        <v>46</v>
      </c>
      <c r="N518" s="1" t="s">
        <v>36</v>
      </c>
      <c r="O518">
        <v>250</v>
      </c>
      <c r="P518">
        <v>2268</v>
      </c>
      <c r="Q518">
        <v>1750</v>
      </c>
      <c r="R518">
        <v>518</v>
      </c>
      <c r="S518">
        <v>0.22839506172839499</v>
      </c>
    </row>
    <row r="519" spans="1:19" x14ac:dyDescent="0.3">
      <c r="A519" s="1" t="s">
        <v>924</v>
      </c>
      <c r="B519" s="7">
        <f>MONTH(Clean_Sales[[#This Row],[Order_Date]])</f>
        <v>5</v>
      </c>
      <c r="C519" s="6">
        <v>46166</v>
      </c>
      <c r="D519" s="1" t="s">
        <v>175</v>
      </c>
      <c r="E519" s="1" t="s">
        <v>28</v>
      </c>
      <c r="F519" s="1" t="s">
        <v>51</v>
      </c>
      <c r="G519" s="1" t="s">
        <v>52</v>
      </c>
      <c r="H519" s="1" t="s">
        <v>42</v>
      </c>
      <c r="I519">
        <v>7</v>
      </c>
      <c r="J519">
        <v>310</v>
      </c>
      <c r="K519">
        <v>220</v>
      </c>
      <c r="L519">
        <v>0</v>
      </c>
      <c r="M519" s="1" t="s">
        <v>46</v>
      </c>
      <c r="N519" s="1" t="s">
        <v>36</v>
      </c>
      <c r="O519">
        <v>220</v>
      </c>
      <c r="P519">
        <v>2170</v>
      </c>
      <c r="Q519">
        <v>1540</v>
      </c>
      <c r="R519">
        <v>630</v>
      </c>
      <c r="S519">
        <v>0.29032258064516098</v>
      </c>
    </row>
    <row r="520" spans="1:19" x14ac:dyDescent="0.3">
      <c r="A520" s="1" t="s">
        <v>925</v>
      </c>
      <c r="B520" s="7">
        <f>MONTH(Clean_Sales[[#This Row],[Order_Date]])</f>
        <v>1</v>
      </c>
      <c r="C520" s="6">
        <v>46037</v>
      </c>
      <c r="D520" s="1" t="s">
        <v>396</v>
      </c>
      <c r="E520" s="1" t="s">
        <v>59</v>
      </c>
      <c r="F520" s="1" t="s">
        <v>17</v>
      </c>
      <c r="G520" s="1" t="s">
        <v>18</v>
      </c>
      <c r="H520" s="1" t="s">
        <v>74</v>
      </c>
      <c r="I520">
        <v>2</v>
      </c>
      <c r="J520">
        <v>25</v>
      </c>
      <c r="K520">
        <v>12</v>
      </c>
      <c r="L520">
        <v>0.05</v>
      </c>
      <c r="M520" s="1" t="s">
        <v>23</v>
      </c>
      <c r="N520" s="1" t="s">
        <v>36</v>
      </c>
      <c r="O520">
        <v>12</v>
      </c>
      <c r="P520">
        <v>47.5</v>
      </c>
      <c r="Q520">
        <v>24</v>
      </c>
      <c r="R520">
        <v>23.5</v>
      </c>
      <c r="S520">
        <v>0.49473684210526298</v>
      </c>
    </row>
    <row r="521" spans="1:19" x14ac:dyDescent="0.3">
      <c r="A521" s="1" t="s">
        <v>927</v>
      </c>
      <c r="B521" s="7">
        <f>MONTH(Clean_Sales[[#This Row],[Order_Date]])</f>
        <v>1</v>
      </c>
      <c r="C521" s="6">
        <v>46035</v>
      </c>
      <c r="D521" s="1" t="s">
        <v>390</v>
      </c>
      <c r="E521" s="1" t="s">
        <v>59</v>
      </c>
      <c r="F521" s="1" t="s">
        <v>51</v>
      </c>
      <c r="G521" s="1" t="s">
        <v>52</v>
      </c>
      <c r="H521" s="1" t="s">
        <v>42</v>
      </c>
      <c r="I521">
        <v>7</v>
      </c>
      <c r="J521">
        <v>310</v>
      </c>
      <c r="K521">
        <v>220</v>
      </c>
      <c r="L521">
        <v>0.1</v>
      </c>
      <c r="M521" s="1" t="s">
        <v>46</v>
      </c>
      <c r="N521" s="1" t="s">
        <v>36</v>
      </c>
      <c r="O521">
        <v>220</v>
      </c>
      <c r="P521">
        <v>1953</v>
      </c>
      <c r="Q521">
        <v>1540</v>
      </c>
      <c r="R521">
        <v>413</v>
      </c>
      <c r="S521">
        <v>0.21146953405017899</v>
      </c>
    </row>
    <row r="522" spans="1:19" x14ac:dyDescent="0.3">
      <c r="A522" s="1" t="s">
        <v>929</v>
      </c>
      <c r="B522" s="7">
        <f>MONTH(Clean_Sales[[#This Row],[Order_Date]])</f>
        <v>4</v>
      </c>
      <c r="C522" s="6">
        <v>46142</v>
      </c>
      <c r="D522" s="1" t="s">
        <v>451</v>
      </c>
      <c r="E522" s="1" t="s">
        <v>28</v>
      </c>
      <c r="F522" s="1" t="s">
        <v>40</v>
      </c>
      <c r="G522" s="1" t="s">
        <v>41</v>
      </c>
      <c r="H522" s="1" t="s">
        <v>42</v>
      </c>
      <c r="I522">
        <v>5</v>
      </c>
      <c r="J522">
        <v>1250</v>
      </c>
      <c r="K522">
        <v>940</v>
      </c>
      <c r="L522">
        <v>0</v>
      </c>
      <c r="M522" s="1" t="s">
        <v>23</v>
      </c>
      <c r="N522" s="1" t="s">
        <v>36</v>
      </c>
      <c r="O522">
        <v>940</v>
      </c>
      <c r="P522">
        <v>6250</v>
      </c>
      <c r="Q522">
        <v>4700</v>
      </c>
      <c r="R522">
        <v>1550</v>
      </c>
      <c r="S522">
        <v>0.248</v>
      </c>
    </row>
    <row r="523" spans="1:19" x14ac:dyDescent="0.3">
      <c r="A523" s="1" t="s">
        <v>931</v>
      </c>
      <c r="B523" s="7">
        <f>MONTH(Clean_Sales[[#This Row],[Order_Date]])</f>
        <v>3</v>
      </c>
      <c r="C523" s="6">
        <v>46109</v>
      </c>
      <c r="D523" s="1" t="s">
        <v>162</v>
      </c>
      <c r="E523" s="1" t="s">
        <v>124</v>
      </c>
      <c r="F523" s="1" t="s">
        <v>51</v>
      </c>
      <c r="G523" s="1" t="s">
        <v>52</v>
      </c>
      <c r="H523" s="1" t="s">
        <v>42</v>
      </c>
      <c r="I523">
        <v>1</v>
      </c>
      <c r="J523">
        <v>310</v>
      </c>
      <c r="K523">
        <v>220</v>
      </c>
      <c r="L523">
        <v>0.15</v>
      </c>
      <c r="M523" s="1" t="s">
        <v>23</v>
      </c>
      <c r="N523" s="1" t="s">
        <v>36</v>
      </c>
      <c r="O523">
        <v>220</v>
      </c>
      <c r="P523">
        <v>263.5</v>
      </c>
      <c r="Q523">
        <v>220</v>
      </c>
      <c r="R523">
        <v>43.5</v>
      </c>
      <c r="S523">
        <v>0.165085388994307</v>
      </c>
    </row>
    <row r="524" spans="1:19" x14ac:dyDescent="0.3">
      <c r="A524" s="1" t="s">
        <v>932</v>
      </c>
      <c r="B524" s="7">
        <f>MONTH(Clean_Sales[[#This Row],[Order_Date]])</f>
        <v>6</v>
      </c>
      <c r="C524" s="6">
        <v>46186</v>
      </c>
      <c r="D524" s="1" t="s">
        <v>364</v>
      </c>
      <c r="E524" s="1" t="s">
        <v>124</v>
      </c>
      <c r="F524" s="1" t="s">
        <v>72</v>
      </c>
      <c r="G524" s="1" t="s">
        <v>73</v>
      </c>
      <c r="H524" s="1" t="s">
        <v>74</v>
      </c>
      <c r="I524">
        <v>8</v>
      </c>
      <c r="J524">
        <v>65</v>
      </c>
      <c r="K524">
        <v>35</v>
      </c>
      <c r="L524">
        <v>0.05</v>
      </c>
      <c r="M524" s="1" t="s">
        <v>46</v>
      </c>
      <c r="N524" s="1" t="s">
        <v>36</v>
      </c>
      <c r="O524">
        <v>35</v>
      </c>
      <c r="P524">
        <v>494</v>
      </c>
      <c r="Q524">
        <v>280</v>
      </c>
      <c r="R524">
        <v>214</v>
      </c>
      <c r="S524">
        <v>0.43319838056680199</v>
      </c>
    </row>
    <row r="525" spans="1:19" x14ac:dyDescent="0.3">
      <c r="A525" s="1" t="s">
        <v>933</v>
      </c>
      <c r="B525" s="7">
        <f>MONTH(Clean_Sales[[#This Row],[Order_Date]])</f>
        <v>5</v>
      </c>
      <c r="C525" s="6">
        <v>46147</v>
      </c>
      <c r="D525" s="1" t="s">
        <v>671</v>
      </c>
      <c r="E525" s="1" t="s">
        <v>124</v>
      </c>
      <c r="F525" s="1" t="s">
        <v>72</v>
      </c>
      <c r="G525" s="1" t="s">
        <v>73</v>
      </c>
      <c r="H525" s="1" t="s">
        <v>74</v>
      </c>
      <c r="I525">
        <v>5</v>
      </c>
      <c r="J525">
        <v>65</v>
      </c>
      <c r="K525">
        <v>35</v>
      </c>
      <c r="L525">
        <v>0.15</v>
      </c>
      <c r="M525" s="1" t="s">
        <v>23</v>
      </c>
      <c r="N525" s="1" t="s">
        <v>36</v>
      </c>
      <c r="O525">
        <v>35</v>
      </c>
      <c r="P525">
        <v>276.25</v>
      </c>
      <c r="Q525">
        <v>175</v>
      </c>
      <c r="R525">
        <v>101.25</v>
      </c>
      <c r="S525">
        <v>0.36651583710407198</v>
      </c>
    </row>
    <row r="526" spans="1:19" x14ac:dyDescent="0.3">
      <c r="A526" s="1" t="s">
        <v>934</v>
      </c>
      <c r="B526" s="7">
        <f>MONTH(Clean_Sales[[#This Row],[Order_Date]])</f>
        <v>3</v>
      </c>
      <c r="C526" s="6">
        <v>46105</v>
      </c>
      <c r="D526" s="1" t="s">
        <v>318</v>
      </c>
      <c r="E526" s="1" t="s">
        <v>28</v>
      </c>
      <c r="F526" s="1" t="s">
        <v>89</v>
      </c>
      <c r="G526" s="1" t="s">
        <v>90</v>
      </c>
      <c r="H526" s="1" t="s">
        <v>74</v>
      </c>
      <c r="I526">
        <v>1</v>
      </c>
      <c r="J526">
        <v>85</v>
      </c>
      <c r="K526">
        <v>48</v>
      </c>
      <c r="L526">
        <v>0.15</v>
      </c>
      <c r="M526" s="1" t="s">
        <v>46</v>
      </c>
      <c r="N526" s="1" t="s">
        <v>36</v>
      </c>
      <c r="O526">
        <v>48</v>
      </c>
      <c r="P526">
        <v>72.25</v>
      </c>
      <c r="Q526">
        <v>48</v>
      </c>
      <c r="R526">
        <v>24.25</v>
      </c>
      <c r="S526">
        <v>0.33564013840830398</v>
      </c>
    </row>
    <row r="527" spans="1:19" x14ac:dyDescent="0.3">
      <c r="A527" s="1" t="s">
        <v>935</v>
      </c>
      <c r="B527" s="7">
        <f>MONTH(Clean_Sales[[#This Row],[Order_Date]])</f>
        <v>3</v>
      </c>
      <c r="C527" s="6">
        <v>46085</v>
      </c>
      <c r="D527" s="1" t="s">
        <v>238</v>
      </c>
      <c r="E527" s="1" t="s">
        <v>50</v>
      </c>
      <c r="F527" s="1" t="s">
        <v>17</v>
      </c>
      <c r="G527" s="1" t="s">
        <v>18</v>
      </c>
      <c r="H527" s="1" t="s">
        <v>74</v>
      </c>
      <c r="I527">
        <v>1</v>
      </c>
      <c r="J527">
        <v>25</v>
      </c>
      <c r="K527">
        <v>12</v>
      </c>
      <c r="L527">
        <v>0.1</v>
      </c>
      <c r="M527" s="1" t="s">
        <v>46</v>
      </c>
      <c r="N527" s="1" t="s">
        <v>36</v>
      </c>
      <c r="O527">
        <v>12</v>
      </c>
      <c r="P527">
        <v>22.5</v>
      </c>
      <c r="Q527">
        <v>12</v>
      </c>
      <c r="R527">
        <v>10.5</v>
      </c>
      <c r="S527">
        <v>0.46666666666666701</v>
      </c>
    </row>
    <row r="528" spans="1:19" x14ac:dyDescent="0.3">
      <c r="A528" s="1" t="s">
        <v>937</v>
      </c>
      <c r="B528" s="7">
        <f>MONTH(Clean_Sales[[#This Row],[Order_Date]])</f>
        <v>4</v>
      </c>
      <c r="C528" s="6">
        <v>46134</v>
      </c>
      <c r="D528" s="1" t="s">
        <v>202</v>
      </c>
      <c r="E528" s="1" t="s">
        <v>59</v>
      </c>
      <c r="F528" s="1" t="s">
        <v>40</v>
      </c>
      <c r="G528" s="1" t="s">
        <v>41</v>
      </c>
      <c r="H528" s="1" t="s">
        <v>42</v>
      </c>
      <c r="I528">
        <v>7</v>
      </c>
      <c r="J528">
        <v>1250</v>
      </c>
      <c r="K528">
        <v>940</v>
      </c>
      <c r="L528">
        <v>0.05</v>
      </c>
      <c r="M528" s="1" t="s">
        <v>23</v>
      </c>
      <c r="N528" s="1" t="s">
        <v>36</v>
      </c>
      <c r="O528">
        <v>940</v>
      </c>
      <c r="P528">
        <v>8312.5</v>
      </c>
      <c r="Q528">
        <v>6580</v>
      </c>
      <c r="R528">
        <v>1732.5</v>
      </c>
      <c r="S528">
        <v>0.20842105263157901</v>
      </c>
    </row>
    <row r="529" spans="1:19" x14ac:dyDescent="0.3">
      <c r="A529" s="1" t="s">
        <v>938</v>
      </c>
      <c r="B529" s="7">
        <f>MONTH(Clean_Sales[[#This Row],[Order_Date]])</f>
        <v>3</v>
      </c>
      <c r="C529" s="6">
        <v>46098</v>
      </c>
      <c r="D529" s="1" t="s">
        <v>211</v>
      </c>
      <c r="E529" s="1" t="s">
        <v>124</v>
      </c>
      <c r="F529" s="1" t="s">
        <v>17</v>
      </c>
      <c r="G529" s="1" t="s">
        <v>18</v>
      </c>
      <c r="H529" s="1" t="s">
        <v>74</v>
      </c>
      <c r="I529">
        <v>7</v>
      </c>
      <c r="J529">
        <v>25</v>
      </c>
      <c r="K529">
        <v>12</v>
      </c>
      <c r="L529">
        <v>0.05</v>
      </c>
      <c r="M529" s="1" t="s">
        <v>23</v>
      </c>
      <c r="N529" s="1" t="s">
        <v>36</v>
      </c>
      <c r="O529">
        <v>12</v>
      </c>
      <c r="P529">
        <v>166.25</v>
      </c>
      <c r="Q529">
        <v>84</v>
      </c>
      <c r="R529">
        <v>82.25</v>
      </c>
      <c r="S529">
        <v>0.49473684210526298</v>
      </c>
    </row>
    <row r="530" spans="1:19" x14ac:dyDescent="0.3">
      <c r="A530" s="1" t="s">
        <v>939</v>
      </c>
      <c r="B530" s="7">
        <f>MONTH(Clean_Sales[[#This Row],[Order_Date]])</f>
        <v>4</v>
      </c>
      <c r="C530" s="6">
        <v>46121</v>
      </c>
      <c r="D530" s="1" t="s">
        <v>263</v>
      </c>
      <c r="E530" s="1" t="s">
        <v>124</v>
      </c>
      <c r="F530" s="1" t="s">
        <v>72</v>
      </c>
      <c r="G530" s="1" t="s">
        <v>73</v>
      </c>
      <c r="H530" s="1" t="s">
        <v>74</v>
      </c>
      <c r="I530">
        <v>7</v>
      </c>
      <c r="J530">
        <v>65</v>
      </c>
      <c r="K530">
        <v>35</v>
      </c>
      <c r="L530">
        <v>0.05</v>
      </c>
      <c r="M530" s="1" t="s">
        <v>46</v>
      </c>
      <c r="N530" s="1" t="s">
        <v>36</v>
      </c>
      <c r="O530">
        <v>35</v>
      </c>
      <c r="P530">
        <v>432.25</v>
      </c>
      <c r="Q530">
        <v>245</v>
      </c>
      <c r="R530">
        <v>187.25</v>
      </c>
      <c r="S530">
        <v>0.43319838056680199</v>
      </c>
    </row>
    <row r="531" spans="1:19" x14ac:dyDescent="0.3">
      <c r="A531" s="1" t="s">
        <v>940</v>
      </c>
      <c r="B531" s="7">
        <f>MONTH(Clean_Sales[[#This Row],[Order_Date]])</f>
        <v>2</v>
      </c>
      <c r="C531" s="6">
        <v>46074</v>
      </c>
      <c r="D531" s="1" t="s">
        <v>243</v>
      </c>
      <c r="E531" s="1" t="s">
        <v>50</v>
      </c>
      <c r="F531" s="1" t="s">
        <v>64</v>
      </c>
      <c r="G531" s="1" t="s">
        <v>65</v>
      </c>
      <c r="H531" s="1" t="s">
        <v>42</v>
      </c>
      <c r="I531">
        <v>7</v>
      </c>
      <c r="J531">
        <v>360</v>
      </c>
      <c r="K531">
        <v>250</v>
      </c>
      <c r="L531">
        <v>0.15</v>
      </c>
      <c r="M531" s="1" t="s">
        <v>46</v>
      </c>
      <c r="N531" s="1" t="s">
        <v>36</v>
      </c>
      <c r="O531">
        <v>250</v>
      </c>
      <c r="P531">
        <v>2142</v>
      </c>
      <c r="Q531">
        <v>1750</v>
      </c>
      <c r="R531">
        <v>392</v>
      </c>
      <c r="S531">
        <v>0.18300653594771199</v>
      </c>
    </row>
    <row r="532" spans="1:19" x14ac:dyDescent="0.3">
      <c r="A532" s="1" t="s">
        <v>941</v>
      </c>
      <c r="B532" s="7">
        <f>MONTH(Clean_Sales[[#This Row],[Order_Date]])</f>
        <v>3</v>
      </c>
      <c r="C532" s="6">
        <v>46082</v>
      </c>
      <c r="D532" s="1" t="s">
        <v>454</v>
      </c>
      <c r="E532" s="1" t="s">
        <v>59</v>
      </c>
      <c r="F532" s="1" t="s">
        <v>17</v>
      </c>
      <c r="G532" s="1" t="s">
        <v>18</v>
      </c>
      <c r="H532" s="1" t="s">
        <v>74</v>
      </c>
      <c r="I532">
        <v>5</v>
      </c>
      <c r="J532">
        <v>25</v>
      </c>
      <c r="K532">
        <v>12</v>
      </c>
      <c r="L532">
        <v>0.1</v>
      </c>
      <c r="M532" s="1" t="s">
        <v>46</v>
      </c>
      <c r="N532" s="1" t="s">
        <v>36</v>
      </c>
      <c r="O532">
        <v>12</v>
      </c>
      <c r="P532">
        <v>112.5</v>
      </c>
      <c r="Q532">
        <v>60</v>
      </c>
      <c r="R532">
        <v>52.5</v>
      </c>
      <c r="S532">
        <v>0.46666666666666701</v>
      </c>
    </row>
    <row r="533" spans="1:19" x14ac:dyDescent="0.3">
      <c r="A533" s="1" t="s">
        <v>943</v>
      </c>
      <c r="B533" s="7">
        <f>MONTH(Clean_Sales[[#This Row],[Order_Date]])</f>
        <v>1</v>
      </c>
      <c r="C533" s="6">
        <v>46029</v>
      </c>
      <c r="D533" s="1" t="s">
        <v>216</v>
      </c>
      <c r="E533" s="1" t="s">
        <v>59</v>
      </c>
      <c r="F533" s="1" t="s">
        <v>64</v>
      </c>
      <c r="G533" s="1" t="s">
        <v>65</v>
      </c>
      <c r="H533" s="1" t="s">
        <v>42</v>
      </c>
      <c r="I533">
        <v>7</v>
      </c>
      <c r="J533">
        <v>360</v>
      </c>
      <c r="K533">
        <v>250</v>
      </c>
      <c r="L533">
        <v>0.15</v>
      </c>
      <c r="M533" s="1" t="s">
        <v>23</v>
      </c>
      <c r="N533" s="1" t="s">
        <v>36</v>
      </c>
      <c r="O533">
        <v>250</v>
      </c>
      <c r="P533">
        <v>2142</v>
      </c>
      <c r="Q533">
        <v>1750</v>
      </c>
      <c r="R533">
        <v>392</v>
      </c>
      <c r="S533">
        <v>0.18300653594771199</v>
      </c>
    </row>
    <row r="534" spans="1:19" x14ac:dyDescent="0.3">
      <c r="A534" s="1" t="s">
        <v>944</v>
      </c>
      <c r="B534" s="7">
        <f>MONTH(Clean_Sales[[#This Row],[Order_Date]])</f>
        <v>1</v>
      </c>
      <c r="C534" s="6">
        <v>46053</v>
      </c>
      <c r="D534" s="1" t="s">
        <v>211</v>
      </c>
      <c r="E534" s="1" t="s">
        <v>982</v>
      </c>
      <c r="F534" s="1" t="s">
        <v>51</v>
      </c>
      <c r="G534" s="1" t="s">
        <v>52</v>
      </c>
      <c r="H534" s="1" t="s">
        <v>42</v>
      </c>
      <c r="I534">
        <v>4</v>
      </c>
      <c r="J534">
        <v>310</v>
      </c>
      <c r="K534">
        <v>220</v>
      </c>
      <c r="L534">
        <v>0.15</v>
      </c>
      <c r="M534" s="1" t="s">
        <v>46</v>
      </c>
      <c r="N534" s="1" t="s">
        <v>36</v>
      </c>
      <c r="O534">
        <v>220</v>
      </c>
      <c r="P534">
        <v>1054</v>
      </c>
      <c r="Q534">
        <v>880</v>
      </c>
      <c r="R534">
        <v>174</v>
      </c>
      <c r="S534">
        <v>0.165085388994307</v>
      </c>
    </row>
    <row r="535" spans="1:19" x14ac:dyDescent="0.3">
      <c r="A535" s="1" t="s">
        <v>945</v>
      </c>
      <c r="B535" s="7">
        <f>MONTH(Clean_Sales[[#This Row],[Order_Date]])</f>
        <v>5</v>
      </c>
      <c r="C535" s="6">
        <v>46166</v>
      </c>
      <c r="D535" s="1" t="s">
        <v>260</v>
      </c>
      <c r="E535" s="1" t="s">
        <v>59</v>
      </c>
      <c r="F535" s="1" t="s">
        <v>89</v>
      </c>
      <c r="G535" s="1" t="s">
        <v>90</v>
      </c>
      <c r="H535" s="1" t="s">
        <v>74</v>
      </c>
      <c r="I535">
        <v>1</v>
      </c>
      <c r="J535">
        <v>85</v>
      </c>
      <c r="K535">
        <v>48</v>
      </c>
      <c r="L535">
        <v>0</v>
      </c>
      <c r="M535" s="1" t="s">
        <v>23</v>
      </c>
      <c r="N535" s="1" t="s">
        <v>36</v>
      </c>
      <c r="O535">
        <v>48</v>
      </c>
      <c r="P535">
        <v>85</v>
      </c>
      <c r="Q535">
        <v>48</v>
      </c>
      <c r="R535">
        <v>37</v>
      </c>
      <c r="S535">
        <v>0.435294117647059</v>
      </c>
    </row>
    <row r="536" spans="1:19" x14ac:dyDescent="0.3">
      <c r="A536" s="1" t="s">
        <v>946</v>
      </c>
      <c r="B536" s="7">
        <f>MONTH(Clean_Sales[[#This Row],[Order_Date]])</f>
        <v>3</v>
      </c>
      <c r="C536" s="6">
        <v>46103</v>
      </c>
      <c r="D536" s="1" t="s">
        <v>152</v>
      </c>
      <c r="E536" s="1" t="s">
        <v>50</v>
      </c>
      <c r="F536" s="1" t="s">
        <v>72</v>
      </c>
      <c r="G536" s="1" t="s">
        <v>73</v>
      </c>
      <c r="H536" s="1" t="s">
        <v>74</v>
      </c>
      <c r="I536">
        <v>3</v>
      </c>
      <c r="J536">
        <v>65</v>
      </c>
      <c r="K536">
        <v>35</v>
      </c>
      <c r="L536">
        <v>0</v>
      </c>
      <c r="M536" s="1" t="s">
        <v>46</v>
      </c>
      <c r="N536" s="1" t="s">
        <v>36</v>
      </c>
      <c r="O536">
        <v>35</v>
      </c>
      <c r="P536">
        <v>195</v>
      </c>
      <c r="Q536">
        <v>105</v>
      </c>
      <c r="R536">
        <v>90</v>
      </c>
      <c r="S536">
        <v>0.46153846153846201</v>
      </c>
    </row>
    <row r="537" spans="1:19" x14ac:dyDescent="0.3">
      <c r="A537" s="1" t="s">
        <v>947</v>
      </c>
      <c r="B537" s="7">
        <f>MONTH(Clean_Sales[[#This Row],[Order_Date]])</f>
        <v>5</v>
      </c>
      <c r="C537" s="6">
        <v>46171</v>
      </c>
      <c r="D537" s="1" t="s">
        <v>315</v>
      </c>
      <c r="E537" s="1" t="s">
        <v>28</v>
      </c>
      <c r="F537" s="1" t="s">
        <v>106</v>
      </c>
      <c r="G537" s="1" t="s">
        <v>107</v>
      </c>
      <c r="H537" s="1" t="s">
        <v>31</v>
      </c>
      <c r="I537">
        <v>6</v>
      </c>
      <c r="J537">
        <v>190</v>
      </c>
      <c r="K537">
        <v>115</v>
      </c>
      <c r="L537">
        <v>0.1</v>
      </c>
      <c r="M537" s="1" t="s">
        <v>23</v>
      </c>
      <c r="N537" s="1" t="s">
        <v>36</v>
      </c>
      <c r="O537">
        <v>115</v>
      </c>
      <c r="P537">
        <v>1026</v>
      </c>
      <c r="Q537">
        <v>690</v>
      </c>
      <c r="R537">
        <v>336</v>
      </c>
      <c r="S537">
        <v>0.32748538011695899</v>
      </c>
    </row>
    <row r="538" spans="1:19" x14ac:dyDescent="0.3">
      <c r="A538" s="1" t="s">
        <v>948</v>
      </c>
      <c r="B538" s="7">
        <f>MONTH(Clean_Sales[[#This Row],[Order_Date]])</f>
        <v>1</v>
      </c>
      <c r="C538" s="6">
        <v>46047</v>
      </c>
      <c r="D538" s="1" t="s">
        <v>58</v>
      </c>
      <c r="E538" s="1" t="s">
        <v>28</v>
      </c>
      <c r="F538" s="1" t="s">
        <v>64</v>
      </c>
      <c r="G538" s="1" t="s">
        <v>65</v>
      </c>
      <c r="H538" s="1" t="s">
        <v>42</v>
      </c>
      <c r="I538">
        <v>6</v>
      </c>
      <c r="J538">
        <v>360</v>
      </c>
      <c r="K538">
        <v>250</v>
      </c>
      <c r="L538">
        <v>0</v>
      </c>
      <c r="M538" s="1" t="s">
        <v>23</v>
      </c>
      <c r="N538" s="1" t="s">
        <v>36</v>
      </c>
      <c r="O538">
        <v>250</v>
      </c>
      <c r="P538">
        <v>2160</v>
      </c>
      <c r="Q538">
        <v>1500</v>
      </c>
      <c r="R538">
        <v>660</v>
      </c>
      <c r="S538">
        <v>0.30555555555555602</v>
      </c>
    </row>
    <row r="539" spans="1:19" x14ac:dyDescent="0.3">
      <c r="A539" s="1" t="s">
        <v>949</v>
      </c>
      <c r="B539" s="7">
        <f>MONTH(Clean_Sales[[#This Row],[Order_Date]])</f>
        <v>4</v>
      </c>
      <c r="C539" s="6">
        <v>46117</v>
      </c>
      <c r="D539" s="1" t="s">
        <v>295</v>
      </c>
      <c r="E539" s="1" t="s">
        <v>124</v>
      </c>
      <c r="F539" s="1" t="s">
        <v>40</v>
      </c>
      <c r="G539" s="1" t="s">
        <v>41</v>
      </c>
      <c r="H539" s="1" t="s">
        <v>42</v>
      </c>
      <c r="I539">
        <v>5</v>
      </c>
      <c r="J539">
        <v>1250</v>
      </c>
      <c r="K539">
        <v>940</v>
      </c>
      <c r="L539">
        <v>0.15</v>
      </c>
      <c r="M539" s="1" t="s">
        <v>46</v>
      </c>
      <c r="N539" s="1" t="s">
        <v>36</v>
      </c>
      <c r="O539">
        <v>940</v>
      </c>
      <c r="P539">
        <v>5312.5</v>
      </c>
      <c r="Q539">
        <v>4700</v>
      </c>
      <c r="R539">
        <v>612.5</v>
      </c>
      <c r="S539">
        <v>0.11529411764705901</v>
      </c>
    </row>
    <row r="540" spans="1:19" x14ac:dyDescent="0.3">
      <c r="A540" s="1" t="s">
        <v>950</v>
      </c>
      <c r="B540" s="7">
        <f>MONTH(Clean_Sales[[#This Row],[Order_Date]])</f>
        <v>4</v>
      </c>
      <c r="C540" s="6">
        <v>46114</v>
      </c>
      <c r="D540" s="1" t="s">
        <v>159</v>
      </c>
      <c r="E540" s="1" t="s">
        <v>124</v>
      </c>
      <c r="F540" s="1" t="s">
        <v>29</v>
      </c>
      <c r="G540" s="1" t="s">
        <v>30</v>
      </c>
      <c r="H540" s="1" t="s">
        <v>31</v>
      </c>
      <c r="I540">
        <v>5</v>
      </c>
      <c r="J540">
        <v>280</v>
      </c>
      <c r="K540">
        <v>190</v>
      </c>
      <c r="L540">
        <v>0.05</v>
      </c>
      <c r="M540" s="1" t="s">
        <v>46</v>
      </c>
      <c r="N540" s="1" t="s">
        <v>36</v>
      </c>
      <c r="O540">
        <v>190</v>
      </c>
      <c r="P540">
        <v>1330</v>
      </c>
      <c r="Q540">
        <v>950</v>
      </c>
      <c r="R540">
        <v>380</v>
      </c>
      <c r="S540">
        <v>0.28571428571428598</v>
      </c>
    </row>
    <row r="541" spans="1:19" x14ac:dyDescent="0.3">
      <c r="A541" s="1" t="s">
        <v>951</v>
      </c>
      <c r="B541" s="7">
        <f>MONTH(Clean_Sales[[#This Row],[Order_Date]])</f>
        <v>4</v>
      </c>
      <c r="C541" s="6">
        <v>46120</v>
      </c>
      <c r="D541" s="1" t="s">
        <v>71</v>
      </c>
      <c r="E541" s="1" t="s">
        <v>50</v>
      </c>
      <c r="F541" s="1" t="s">
        <v>29</v>
      </c>
      <c r="G541" s="1" t="s">
        <v>30</v>
      </c>
      <c r="H541" s="1" t="s">
        <v>31</v>
      </c>
      <c r="I541">
        <v>6</v>
      </c>
      <c r="J541">
        <v>280</v>
      </c>
      <c r="K541">
        <v>190</v>
      </c>
      <c r="L541">
        <v>0.15</v>
      </c>
      <c r="M541" s="1" t="s">
        <v>23</v>
      </c>
      <c r="N541" s="1" t="s">
        <v>36</v>
      </c>
      <c r="O541">
        <v>190</v>
      </c>
      <c r="P541">
        <v>1428</v>
      </c>
      <c r="Q541">
        <v>1140</v>
      </c>
      <c r="R541">
        <v>288</v>
      </c>
      <c r="S541">
        <v>0.20168067226890801</v>
      </c>
    </row>
    <row r="542" spans="1:19" x14ac:dyDescent="0.3">
      <c r="A542" s="1" t="s">
        <v>952</v>
      </c>
      <c r="B542" s="7">
        <f>MONTH(Clean_Sales[[#This Row],[Order_Date]])</f>
        <v>4</v>
      </c>
      <c r="C542" s="6">
        <v>46129</v>
      </c>
      <c r="D542" s="1" t="s">
        <v>462</v>
      </c>
      <c r="E542" s="1" t="s">
        <v>124</v>
      </c>
      <c r="F542" s="1" t="s">
        <v>51</v>
      </c>
      <c r="G542" s="1" t="s">
        <v>52</v>
      </c>
      <c r="H542" s="1" t="s">
        <v>42</v>
      </c>
      <c r="I542">
        <v>7</v>
      </c>
      <c r="J542">
        <v>310</v>
      </c>
      <c r="K542">
        <v>220</v>
      </c>
      <c r="L542">
        <v>0.1</v>
      </c>
      <c r="M542" s="1" t="s">
        <v>23</v>
      </c>
      <c r="N542" s="1" t="s">
        <v>36</v>
      </c>
      <c r="O542">
        <v>220</v>
      </c>
      <c r="P542">
        <v>1953</v>
      </c>
      <c r="Q542">
        <v>1540</v>
      </c>
      <c r="R542">
        <v>413</v>
      </c>
      <c r="S542">
        <v>0.21146953405017899</v>
      </c>
    </row>
    <row r="543" spans="1:19" x14ac:dyDescent="0.3">
      <c r="A543" s="1" t="s">
        <v>953</v>
      </c>
      <c r="B543" s="7">
        <f>MONTH(Clean_Sales[[#This Row],[Order_Date]])</f>
        <v>5</v>
      </c>
      <c r="C543" s="6">
        <v>46168</v>
      </c>
      <c r="D543" s="1" t="s">
        <v>410</v>
      </c>
      <c r="E543" s="1" t="s">
        <v>28</v>
      </c>
      <c r="F543" s="1" t="s">
        <v>64</v>
      </c>
      <c r="G543" s="1" t="s">
        <v>65</v>
      </c>
      <c r="H543" s="1" t="s">
        <v>42</v>
      </c>
      <c r="I543">
        <v>2</v>
      </c>
      <c r="J543">
        <v>360</v>
      </c>
      <c r="K543">
        <v>250</v>
      </c>
      <c r="L543">
        <v>0.15</v>
      </c>
      <c r="M543" s="1" t="s">
        <v>46</v>
      </c>
      <c r="N543" s="1" t="s">
        <v>36</v>
      </c>
      <c r="O543">
        <v>250</v>
      </c>
      <c r="P543">
        <v>612</v>
      </c>
      <c r="Q543">
        <v>500</v>
      </c>
      <c r="R543">
        <v>112</v>
      </c>
      <c r="S543">
        <v>0.18300653594771199</v>
      </c>
    </row>
    <row r="544" spans="1:19" x14ac:dyDescent="0.3">
      <c r="A544" s="1" t="s">
        <v>954</v>
      </c>
      <c r="B544" s="7">
        <f>MONTH(Clean_Sales[[#This Row],[Order_Date]])</f>
        <v>2</v>
      </c>
      <c r="C544" s="6">
        <v>46064</v>
      </c>
      <c r="D544" s="1" t="s">
        <v>123</v>
      </c>
      <c r="E544" s="1" t="s">
        <v>28</v>
      </c>
      <c r="F544" s="1" t="s">
        <v>40</v>
      </c>
      <c r="G544" s="1" t="s">
        <v>41</v>
      </c>
      <c r="H544" s="1" t="s">
        <v>42</v>
      </c>
      <c r="I544">
        <v>1</v>
      </c>
      <c r="J544">
        <v>1250</v>
      </c>
      <c r="K544">
        <v>940</v>
      </c>
      <c r="L544">
        <v>0</v>
      </c>
      <c r="M544" s="1" t="s">
        <v>23</v>
      </c>
      <c r="N544" s="1" t="s">
        <v>36</v>
      </c>
      <c r="O544">
        <v>940</v>
      </c>
      <c r="P544">
        <v>1250</v>
      </c>
      <c r="Q544">
        <v>940</v>
      </c>
      <c r="R544">
        <v>310</v>
      </c>
      <c r="S544">
        <v>0.248</v>
      </c>
    </row>
    <row r="545" spans="1:19" x14ac:dyDescent="0.3">
      <c r="A545" s="1" t="s">
        <v>955</v>
      </c>
      <c r="B545" s="7">
        <f>MONTH(Clean_Sales[[#This Row],[Order_Date]])</f>
        <v>4</v>
      </c>
      <c r="C545" s="6">
        <v>46133</v>
      </c>
      <c r="D545" s="1" t="s">
        <v>84</v>
      </c>
      <c r="E545" s="1" t="s">
        <v>28</v>
      </c>
      <c r="F545" s="1" t="s">
        <v>106</v>
      </c>
      <c r="G545" s="1" t="s">
        <v>107</v>
      </c>
      <c r="H545" s="1" t="s">
        <v>31</v>
      </c>
      <c r="I545">
        <v>5</v>
      </c>
      <c r="J545">
        <v>190</v>
      </c>
      <c r="K545">
        <v>115</v>
      </c>
      <c r="L545">
        <v>0.15</v>
      </c>
      <c r="M545" s="1" t="s">
        <v>46</v>
      </c>
      <c r="N545" s="1" t="s">
        <v>36</v>
      </c>
      <c r="O545">
        <v>115</v>
      </c>
      <c r="P545">
        <v>807.5</v>
      </c>
      <c r="Q545">
        <v>575</v>
      </c>
      <c r="R545">
        <v>232.5</v>
      </c>
      <c r="S545">
        <v>0.28792569659442702</v>
      </c>
    </row>
    <row r="546" spans="1:19" x14ac:dyDescent="0.3">
      <c r="A546" s="1" t="s">
        <v>956</v>
      </c>
      <c r="B546" s="7">
        <f>MONTH(Clean_Sales[[#This Row],[Order_Date]])</f>
        <v>2</v>
      </c>
      <c r="C546" s="6">
        <v>46057</v>
      </c>
      <c r="D546" s="1" t="s">
        <v>111</v>
      </c>
      <c r="E546" s="1" t="s">
        <v>59</v>
      </c>
      <c r="F546" s="1" t="s">
        <v>51</v>
      </c>
      <c r="G546" s="1" t="s">
        <v>52</v>
      </c>
      <c r="H546" s="1" t="s">
        <v>42</v>
      </c>
      <c r="I546">
        <v>5</v>
      </c>
      <c r="J546">
        <v>310</v>
      </c>
      <c r="K546">
        <v>220</v>
      </c>
      <c r="L546">
        <v>0</v>
      </c>
      <c r="M546" s="1" t="s">
        <v>23</v>
      </c>
      <c r="N546" s="1" t="s">
        <v>36</v>
      </c>
      <c r="O546">
        <v>220</v>
      </c>
      <c r="P546">
        <v>1550</v>
      </c>
      <c r="Q546">
        <v>1100</v>
      </c>
      <c r="R546">
        <v>450</v>
      </c>
      <c r="S546">
        <v>0.29032258064516098</v>
      </c>
    </row>
    <row r="547" spans="1:19" x14ac:dyDescent="0.3">
      <c r="A547" s="1" t="s">
        <v>957</v>
      </c>
      <c r="B547" s="7">
        <f>MONTH(Clean_Sales[[#This Row],[Order_Date]])</f>
        <v>5</v>
      </c>
      <c r="C547" s="6">
        <v>46145</v>
      </c>
      <c r="D547" s="1" t="s">
        <v>102</v>
      </c>
      <c r="E547" s="1" t="s">
        <v>28</v>
      </c>
      <c r="F547" s="1" t="s">
        <v>29</v>
      </c>
      <c r="G547" s="1" t="s">
        <v>30</v>
      </c>
      <c r="H547" s="1" t="s">
        <v>31</v>
      </c>
      <c r="I547">
        <v>5</v>
      </c>
      <c r="J547">
        <v>280</v>
      </c>
      <c r="K547">
        <v>190</v>
      </c>
      <c r="L547">
        <v>0</v>
      </c>
      <c r="M547" s="1" t="s">
        <v>23</v>
      </c>
      <c r="N547" s="1" t="s">
        <v>36</v>
      </c>
      <c r="O547">
        <v>190</v>
      </c>
      <c r="P547">
        <v>1400</v>
      </c>
      <c r="Q547">
        <v>950</v>
      </c>
      <c r="R547">
        <v>450</v>
      </c>
      <c r="S547">
        <v>0.32142857142857101</v>
      </c>
    </row>
    <row r="548" spans="1:19" x14ac:dyDescent="0.3">
      <c r="A548" s="1" t="s">
        <v>959</v>
      </c>
      <c r="B548" s="7">
        <f>MONTH(Clean_Sales[[#This Row],[Order_Date]])</f>
        <v>2</v>
      </c>
      <c r="C548" s="6">
        <v>46060</v>
      </c>
      <c r="D548" s="1" t="s">
        <v>238</v>
      </c>
      <c r="E548" s="1" t="s">
        <v>59</v>
      </c>
      <c r="F548" s="1" t="s">
        <v>17</v>
      </c>
      <c r="G548" s="1" t="s">
        <v>18</v>
      </c>
      <c r="H548" s="1" t="s">
        <v>74</v>
      </c>
      <c r="I548">
        <v>5</v>
      </c>
      <c r="J548">
        <v>25</v>
      </c>
      <c r="K548">
        <v>12</v>
      </c>
      <c r="L548">
        <v>0</v>
      </c>
      <c r="M548" s="1" t="s">
        <v>23</v>
      </c>
      <c r="N548" s="1" t="s">
        <v>36</v>
      </c>
      <c r="O548">
        <v>12</v>
      </c>
      <c r="P548">
        <v>125</v>
      </c>
      <c r="Q548">
        <v>60</v>
      </c>
      <c r="R548">
        <v>65</v>
      </c>
      <c r="S548">
        <v>0.52</v>
      </c>
    </row>
    <row r="549" spans="1:19" x14ac:dyDescent="0.3">
      <c r="A549" s="1" t="s">
        <v>960</v>
      </c>
      <c r="B549" s="7">
        <f>MONTH(Clean_Sales[[#This Row],[Order_Date]])</f>
        <v>6</v>
      </c>
      <c r="C549" s="6">
        <v>46182</v>
      </c>
      <c r="D549" s="1" t="s">
        <v>232</v>
      </c>
      <c r="E549" s="1" t="s">
        <v>50</v>
      </c>
      <c r="F549" s="1" t="s">
        <v>89</v>
      </c>
      <c r="G549" s="1" t="s">
        <v>90</v>
      </c>
      <c r="H549" s="1" t="s">
        <v>74</v>
      </c>
      <c r="I549">
        <v>5</v>
      </c>
      <c r="J549">
        <v>85</v>
      </c>
      <c r="K549">
        <v>48</v>
      </c>
      <c r="L549">
        <v>0.1</v>
      </c>
      <c r="M549" s="1" t="s">
        <v>23</v>
      </c>
      <c r="N549" s="1" t="s">
        <v>36</v>
      </c>
      <c r="O549">
        <v>48</v>
      </c>
      <c r="P549">
        <v>382.5</v>
      </c>
      <c r="Q549">
        <v>240</v>
      </c>
      <c r="R549">
        <v>142.5</v>
      </c>
      <c r="S549">
        <v>0.37254901960784298</v>
      </c>
    </row>
    <row r="550" spans="1:19" x14ac:dyDescent="0.3">
      <c r="A550" s="1" t="s">
        <v>961</v>
      </c>
      <c r="B550" s="7">
        <f>MONTH(Clean_Sales[[#This Row],[Order_Date]])</f>
        <v>6</v>
      </c>
      <c r="C550" s="6">
        <v>46196</v>
      </c>
      <c r="D550" s="1" t="s">
        <v>140</v>
      </c>
      <c r="E550" s="1" t="s">
        <v>124</v>
      </c>
      <c r="F550" s="1" t="s">
        <v>64</v>
      </c>
      <c r="G550" s="1" t="s">
        <v>65</v>
      </c>
      <c r="H550" s="1" t="s">
        <v>42</v>
      </c>
      <c r="I550">
        <v>6</v>
      </c>
      <c r="J550">
        <v>360</v>
      </c>
      <c r="K550">
        <v>250</v>
      </c>
      <c r="L550">
        <v>0.15</v>
      </c>
      <c r="M550" s="1" t="s">
        <v>23</v>
      </c>
      <c r="N550" s="1" t="s">
        <v>36</v>
      </c>
      <c r="O550">
        <v>250</v>
      </c>
      <c r="P550">
        <v>1836</v>
      </c>
      <c r="Q550">
        <v>1500</v>
      </c>
      <c r="R550">
        <v>336</v>
      </c>
      <c r="S550">
        <v>0.18300653594771199</v>
      </c>
    </row>
    <row r="551" spans="1:19" x14ac:dyDescent="0.3">
      <c r="A551" s="1" t="s">
        <v>962</v>
      </c>
      <c r="B551" s="7">
        <f>MONTH(Clean_Sales[[#This Row],[Order_Date]])</f>
        <v>1</v>
      </c>
      <c r="C551" s="6">
        <v>46046</v>
      </c>
      <c r="D551" s="1" t="s">
        <v>325</v>
      </c>
      <c r="E551" s="1" t="s">
        <v>50</v>
      </c>
      <c r="F551" s="1" t="s">
        <v>51</v>
      </c>
      <c r="G551" s="1" t="s">
        <v>52</v>
      </c>
      <c r="H551" s="1" t="s">
        <v>42</v>
      </c>
      <c r="I551">
        <v>7</v>
      </c>
      <c r="J551">
        <v>310</v>
      </c>
      <c r="K551">
        <v>220</v>
      </c>
      <c r="L551">
        <v>0.1</v>
      </c>
      <c r="M551" s="1" t="s">
        <v>23</v>
      </c>
      <c r="N551" s="1" t="s">
        <v>36</v>
      </c>
      <c r="O551">
        <v>220</v>
      </c>
      <c r="P551">
        <v>1953</v>
      </c>
      <c r="Q551">
        <v>1540</v>
      </c>
      <c r="R551">
        <v>413</v>
      </c>
      <c r="S551">
        <v>0.21146953405017899</v>
      </c>
    </row>
    <row r="552" spans="1:19" x14ac:dyDescent="0.3">
      <c r="A552" s="1" t="s">
        <v>963</v>
      </c>
      <c r="B552" s="7">
        <f>MONTH(Clean_Sales[[#This Row],[Order_Date]])</f>
        <v>2</v>
      </c>
      <c r="C552" s="6">
        <v>46074</v>
      </c>
      <c r="D552" s="1" t="s">
        <v>410</v>
      </c>
      <c r="E552" s="1" t="s">
        <v>28</v>
      </c>
      <c r="F552" s="1" t="s">
        <v>17</v>
      </c>
      <c r="G552" s="1" t="s">
        <v>18</v>
      </c>
      <c r="H552" s="1" t="s">
        <v>74</v>
      </c>
      <c r="I552">
        <v>8</v>
      </c>
      <c r="J552">
        <v>25</v>
      </c>
      <c r="K552">
        <v>12</v>
      </c>
      <c r="L552">
        <v>0.1</v>
      </c>
      <c r="M552" s="1" t="s">
        <v>46</v>
      </c>
      <c r="N552" s="1" t="s">
        <v>36</v>
      </c>
      <c r="O552">
        <v>12</v>
      </c>
      <c r="P552">
        <v>180</v>
      </c>
      <c r="Q552">
        <v>96</v>
      </c>
      <c r="R552">
        <v>84</v>
      </c>
      <c r="S552">
        <v>0.46666666666666701</v>
      </c>
    </row>
    <row r="553" spans="1:19" x14ac:dyDescent="0.3">
      <c r="A553" s="1" t="s">
        <v>964</v>
      </c>
      <c r="B553" s="7">
        <f>MONTH(Clean_Sales[[#This Row],[Order_Date]])</f>
        <v>6</v>
      </c>
      <c r="C553" s="6">
        <v>46178</v>
      </c>
      <c r="D553" s="1" t="s">
        <v>227</v>
      </c>
      <c r="E553" s="1" t="s">
        <v>28</v>
      </c>
      <c r="F553" s="1" t="s">
        <v>64</v>
      </c>
      <c r="G553" s="1" t="s">
        <v>65</v>
      </c>
      <c r="H553" s="1" t="s">
        <v>42</v>
      </c>
      <c r="I553">
        <v>6</v>
      </c>
      <c r="J553">
        <v>360</v>
      </c>
      <c r="K553">
        <v>250</v>
      </c>
      <c r="L553">
        <v>0.1</v>
      </c>
      <c r="M553" s="1" t="s">
        <v>46</v>
      </c>
      <c r="N553" s="1" t="s">
        <v>36</v>
      </c>
      <c r="O553">
        <v>250</v>
      </c>
      <c r="P553">
        <v>1944</v>
      </c>
      <c r="Q553">
        <v>1500</v>
      </c>
      <c r="R553">
        <v>444</v>
      </c>
      <c r="S553">
        <v>0.22839506172839499</v>
      </c>
    </row>
    <row r="554" spans="1:19" x14ac:dyDescent="0.3">
      <c r="A554" s="1" t="s">
        <v>966</v>
      </c>
      <c r="B554" s="7">
        <f>MONTH(Clean_Sales[[#This Row],[Order_Date]])</f>
        <v>2</v>
      </c>
      <c r="C554" s="6">
        <v>46059</v>
      </c>
      <c r="D554" s="1" t="s">
        <v>84</v>
      </c>
      <c r="E554" s="1" t="s">
        <v>124</v>
      </c>
      <c r="F554" s="1" t="s">
        <v>51</v>
      </c>
      <c r="G554" s="1" t="s">
        <v>52</v>
      </c>
      <c r="H554" s="1" t="s">
        <v>42</v>
      </c>
      <c r="I554">
        <v>6</v>
      </c>
      <c r="J554">
        <v>310</v>
      </c>
      <c r="K554">
        <v>220</v>
      </c>
      <c r="L554">
        <v>0.15</v>
      </c>
      <c r="M554" s="1" t="s">
        <v>23</v>
      </c>
      <c r="N554" s="1" t="s">
        <v>36</v>
      </c>
      <c r="O554">
        <v>220</v>
      </c>
      <c r="P554">
        <v>1581</v>
      </c>
      <c r="Q554">
        <v>1320</v>
      </c>
      <c r="R554">
        <v>261</v>
      </c>
      <c r="S554">
        <v>0.165085388994307</v>
      </c>
    </row>
    <row r="555" spans="1:19" x14ac:dyDescent="0.3">
      <c r="A555" s="1" t="s">
        <v>967</v>
      </c>
      <c r="B555" s="7">
        <f>MONTH(Clean_Sales[[#This Row],[Order_Date]])</f>
        <v>4</v>
      </c>
      <c r="C555" s="6">
        <v>46122</v>
      </c>
      <c r="D555" s="1" t="s">
        <v>743</v>
      </c>
      <c r="E555" s="1" t="s">
        <v>59</v>
      </c>
      <c r="F555" s="1" t="s">
        <v>106</v>
      </c>
      <c r="G555" s="1" t="s">
        <v>107</v>
      </c>
      <c r="H555" s="1" t="s">
        <v>31</v>
      </c>
      <c r="I555">
        <v>7</v>
      </c>
      <c r="J555">
        <v>190</v>
      </c>
      <c r="K555">
        <v>115</v>
      </c>
      <c r="L555">
        <v>0.15</v>
      </c>
      <c r="M555" s="1" t="s">
        <v>46</v>
      </c>
      <c r="N555" s="1" t="s">
        <v>36</v>
      </c>
      <c r="O555">
        <v>115</v>
      </c>
      <c r="P555">
        <v>1130.5</v>
      </c>
      <c r="Q555">
        <v>805</v>
      </c>
      <c r="R555">
        <v>325.5</v>
      </c>
      <c r="S555">
        <v>0.28792569659442702</v>
      </c>
    </row>
    <row r="556" spans="1:19" x14ac:dyDescent="0.3">
      <c r="A556" s="1" t="s">
        <v>968</v>
      </c>
      <c r="B556" s="7">
        <f>MONTH(Clean_Sales[[#This Row],[Order_Date]])</f>
        <v>4</v>
      </c>
      <c r="C556" s="6">
        <v>46128</v>
      </c>
      <c r="D556" s="1" t="s">
        <v>162</v>
      </c>
      <c r="E556" s="1" t="s">
        <v>28</v>
      </c>
      <c r="F556" s="1" t="s">
        <v>40</v>
      </c>
      <c r="G556" s="1" t="s">
        <v>41</v>
      </c>
      <c r="H556" s="1" t="s">
        <v>42</v>
      </c>
      <c r="I556">
        <v>5</v>
      </c>
      <c r="J556">
        <v>1250</v>
      </c>
      <c r="K556">
        <v>940</v>
      </c>
      <c r="L556">
        <v>0.1</v>
      </c>
      <c r="M556" s="1" t="s">
        <v>46</v>
      </c>
      <c r="N556" s="1" t="s">
        <v>36</v>
      </c>
      <c r="O556">
        <v>940</v>
      </c>
      <c r="P556">
        <v>5625</v>
      </c>
      <c r="Q556">
        <v>4700</v>
      </c>
      <c r="R556">
        <v>925</v>
      </c>
      <c r="S556">
        <v>0.164444444444444</v>
      </c>
    </row>
    <row r="557" spans="1:19" x14ac:dyDescent="0.3">
      <c r="A557" s="1" t="s">
        <v>970</v>
      </c>
      <c r="B557" s="7">
        <f>MONTH(Clean_Sales[[#This Row],[Order_Date]])</f>
        <v>5</v>
      </c>
      <c r="C557" s="6">
        <v>46172</v>
      </c>
      <c r="D557" s="1" t="s">
        <v>222</v>
      </c>
      <c r="E557" s="1" t="s">
        <v>50</v>
      </c>
      <c r="F557" s="1" t="s">
        <v>64</v>
      </c>
      <c r="G557" s="1" t="s">
        <v>65</v>
      </c>
      <c r="H557" s="1" t="s">
        <v>42</v>
      </c>
      <c r="I557">
        <v>7</v>
      </c>
      <c r="J557">
        <v>360</v>
      </c>
      <c r="K557">
        <v>250</v>
      </c>
      <c r="L557">
        <v>0.1</v>
      </c>
      <c r="M557" s="1" t="s">
        <v>46</v>
      </c>
      <c r="N557" s="1" t="s">
        <v>36</v>
      </c>
      <c r="O557">
        <v>250</v>
      </c>
      <c r="P557">
        <v>2268</v>
      </c>
      <c r="Q557">
        <v>1750</v>
      </c>
      <c r="R557">
        <v>518</v>
      </c>
      <c r="S557">
        <v>0.22839506172839499</v>
      </c>
    </row>
    <row r="558" spans="1:19" x14ac:dyDescent="0.3">
      <c r="A558" s="1" t="s">
        <v>971</v>
      </c>
      <c r="B558" s="7">
        <f>MONTH(Clean_Sales[[#This Row],[Order_Date]])</f>
        <v>5</v>
      </c>
      <c r="C558" s="6">
        <v>46155</v>
      </c>
      <c r="D558" s="1" t="s">
        <v>194</v>
      </c>
      <c r="E558" s="1" t="s">
        <v>28</v>
      </c>
      <c r="F558" s="1" t="s">
        <v>89</v>
      </c>
      <c r="G558" s="1" t="s">
        <v>90</v>
      </c>
      <c r="H558" s="1" t="s">
        <v>74</v>
      </c>
      <c r="I558">
        <v>7</v>
      </c>
      <c r="J558">
        <v>85</v>
      </c>
      <c r="K558">
        <v>48</v>
      </c>
      <c r="L558">
        <v>0.1</v>
      </c>
      <c r="M558" s="1" t="s">
        <v>23</v>
      </c>
      <c r="N558" s="1" t="s">
        <v>36</v>
      </c>
      <c r="O558">
        <v>48</v>
      </c>
      <c r="P558">
        <v>535.5</v>
      </c>
      <c r="Q558">
        <v>336</v>
      </c>
      <c r="R558">
        <v>199.5</v>
      </c>
      <c r="S558">
        <v>0.37254901960784298</v>
      </c>
    </row>
    <row r="559" spans="1:19" x14ac:dyDescent="0.3">
      <c r="A559" s="1" t="s">
        <v>972</v>
      </c>
      <c r="B559" s="7">
        <f>MONTH(Clean_Sales[[#This Row],[Order_Date]])</f>
        <v>3</v>
      </c>
      <c r="C559" s="6">
        <v>46109</v>
      </c>
      <c r="D559" s="1" t="s">
        <v>145</v>
      </c>
      <c r="E559" s="1" t="s">
        <v>124</v>
      </c>
      <c r="F559" s="1" t="s">
        <v>40</v>
      </c>
      <c r="G559" s="1" t="s">
        <v>41</v>
      </c>
      <c r="H559" s="1" t="s">
        <v>42</v>
      </c>
      <c r="I559">
        <v>5</v>
      </c>
      <c r="J559">
        <v>1250</v>
      </c>
      <c r="K559">
        <v>940</v>
      </c>
      <c r="L559">
        <v>0</v>
      </c>
      <c r="M559" s="1" t="s">
        <v>46</v>
      </c>
      <c r="N559" s="1" t="s">
        <v>36</v>
      </c>
      <c r="O559">
        <v>940</v>
      </c>
      <c r="P559">
        <v>6250</v>
      </c>
      <c r="Q559">
        <v>4700</v>
      </c>
      <c r="R559">
        <v>1550</v>
      </c>
      <c r="S559">
        <v>0.248</v>
      </c>
    </row>
    <row r="560" spans="1:19" x14ac:dyDescent="0.3">
      <c r="A560" s="1" t="s">
        <v>973</v>
      </c>
      <c r="B560" s="7">
        <f>MONTH(Clean_Sales[[#This Row],[Order_Date]])</f>
        <v>5</v>
      </c>
      <c r="C560" s="6">
        <v>46166</v>
      </c>
      <c r="D560" s="1" t="s">
        <v>197</v>
      </c>
      <c r="E560" s="1" t="s">
        <v>59</v>
      </c>
      <c r="F560" s="1" t="s">
        <v>106</v>
      </c>
      <c r="G560" s="1" t="s">
        <v>107</v>
      </c>
      <c r="H560" s="1" t="s">
        <v>31</v>
      </c>
      <c r="I560">
        <v>4</v>
      </c>
      <c r="J560">
        <v>190</v>
      </c>
      <c r="K560">
        <v>115</v>
      </c>
      <c r="L560">
        <v>0.15</v>
      </c>
      <c r="M560" s="1" t="s">
        <v>23</v>
      </c>
      <c r="N560" s="1" t="s">
        <v>36</v>
      </c>
      <c r="O560">
        <v>115</v>
      </c>
      <c r="P560">
        <v>646</v>
      </c>
      <c r="Q560">
        <v>460</v>
      </c>
      <c r="R560">
        <v>186</v>
      </c>
      <c r="S560">
        <v>0.28792569659442702</v>
      </c>
    </row>
    <row r="561" spans="1:19" x14ac:dyDescent="0.3">
      <c r="A561" s="1" t="s">
        <v>974</v>
      </c>
      <c r="B561" s="7">
        <f>MONTH(Clean_Sales[[#This Row],[Order_Date]])</f>
        <v>6</v>
      </c>
      <c r="C561" s="6">
        <v>46179</v>
      </c>
      <c r="D561" s="1" t="s">
        <v>88</v>
      </c>
      <c r="E561" s="1" t="s">
        <v>28</v>
      </c>
      <c r="F561" s="1" t="s">
        <v>72</v>
      </c>
      <c r="G561" s="1" t="s">
        <v>73</v>
      </c>
      <c r="H561" s="1" t="s">
        <v>74</v>
      </c>
      <c r="I561">
        <v>8</v>
      </c>
      <c r="J561">
        <v>65</v>
      </c>
      <c r="K561">
        <v>35</v>
      </c>
      <c r="L561">
        <v>0.15</v>
      </c>
      <c r="M561" s="1" t="s">
        <v>46</v>
      </c>
      <c r="N561" s="1" t="s">
        <v>36</v>
      </c>
      <c r="O561">
        <v>35</v>
      </c>
      <c r="P561">
        <v>442</v>
      </c>
      <c r="Q561">
        <v>280</v>
      </c>
      <c r="R561">
        <v>162</v>
      </c>
      <c r="S561">
        <v>0.36651583710407198</v>
      </c>
    </row>
    <row r="562" spans="1:19" x14ac:dyDescent="0.3">
      <c r="A562" s="1" t="s">
        <v>975</v>
      </c>
      <c r="B562" s="7">
        <f>MONTH(Clean_Sales[[#This Row],[Order_Date]])</f>
        <v>3</v>
      </c>
      <c r="C562" s="6">
        <v>46083</v>
      </c>
      <c r="D562" s="1" t="s">
        <v>302</v>
      </c>
      <c r="E562" s="1" t="s">
        <v>59</v>
      </c>
      <c r="F562" s="1" t="s">
        <v>29</v>
      </c>
      <c r="G562" s="1" t="s">
        <v>30</v>
      </c>
      <c r="H562" s="1" t="s">
        <v>31</v>
      </c>
      <c r="I562">
        <v>7</v>
      </c>
      <c r="J562">
        <v>280</v>
      </c>
      <c r="K562">
        <v>190</v>
      </c>
      <c r="L562">
        <v>0.05</v>
      </c>
      <c r="M562" s="1" t="s">
        <v>46</v>
      </c>
      <c r="N562" s="1" t="s">
        <v>36</v>
      </c>
      <c r="O562">
        <v>190</v>
      </c>
      <c r="P562">
        <v>1862</v>
      </c>
      <c r="Q562">
        <v>1330</v>
      </c>
      <c r="R562">
        <v>532</v>
      </c>
      <c r="S562">
        <v>0.28571428571428598</v>
      </c>
    </row>
    <row r="563" spans="1:19" x14ac:dyDescent="0.3">
      <c r="A563" s="1" t="s">
        <v>976</v>
      </c>
      <c r="B563" s="7">
        <f>MONTH(Clean_Sales[[#This Row],[Order_Date]])</f>
        <v>2</v>
      </c>
      <c r="C563" s="6">
        <v>46080</v>
      </c>
      <c r="D563" s="1" t="s">
        <v>152</v>
      </c>
      <c r="E563" s="1" t="s">
        <v>124</v>
      </c>
      <c r="F563" s="1" t="s">
        <v>89</v>
      </c>
      <c r="G563" s="1" t="s">
        <v>90</v>
      </c>
      <c r="H563" s="1" t="s">
        <v>74</v>
      </c>
      <c r="I563">
        <v>5</v>
      </c>
      <c r="J563">
        <v>85</v>
      </c>
      <c r="K563">
        <v>48</v>
      </c>
      <c r="L563">
        <v>0.15</v>
      </c>
      <c r="M563" s="1" t="s">
        <v>23</v>
      </c>
      <c r="N563" s="1" t="s">
        <v>36</v>
      </c>
      <c r="O563">
        <v>48</v>
      </c>
      <c r="P563">
        <v>361.25</v>
      </c>
      <c r="Q563">
        <v>240</v>
      </c>
      <c r="R563">
        <v>121.25</v>
      </c>
      <c r="S563">
        <v>0.33564013840830398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3DBC5-E8E3-4F36-9B0F-F3931F45C79D}">
  <dimension ref="A1:M613"/>
  <sheetViews>
    <sheetView workbookViewId="0">
      <selection activeCell="I24" sqref="I24"/>
    </sheetView>
  </sheetViews>
  <sheetFormatPr defaultRowHeight="14.4" x14ac:dyDescent="0.3"/>
  <cols>
    <col min="1" max="1" width="10.77734375" bestFit="1" customWidth="1"/>
    <col min="2" max="2" width="12.88671875" bestFit="1" customWidth="1"/>
    <col min="3" max="3" width="14.109375" bestFit="1" customWidth="1"/>
    <col min="4" max="4" width="10.88671875" bestFit="1" customWidth="1"/>
    <col min="5" max="5" width="12.6640625" bestFit="1" customWidth="1"/>
    <col min="6" max="6" width="16" bestFit="1" customWidth="1"/>
    <col min="7" max="7" width="10.77734375" bestFit="1" customWidth="1"/>
    <col min="8" max="8" width="10.5546875" bestFit="1" customWidth="1"/>
    <col min="9" max="9" width="16.5546875" bestFit="1" customWidth="1"/>
    <col min="10" max="10" width="16.109375" bestFit="1" customWidth="1"/>
    <col min="11" max="12" width="15.44140625" bestFit="1" customWidth="1"/>
    <col min="13" max="13" width="10.5546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s="1" t="s">
        <v>13</v>
      </c>
      <c r="B2" s="1" t="s">
        <v>14</v>
      </c>
      <c r="C2" s="1" t="s">
        <v>15</v>
      </c>
      <c r="D2" s="1" t="s">
        <v>16</v>
      </c>
      <c r="E2" s="1" t="s">
        <v>17</v>
      </c>
      <c r="F2" s="1" t="s">
        <v>18</v>
      </c>
      <c r="G2" s="1" t="s">
        <v>19</v>
      </c>
      <c r="H2" s="1" t="s">
        <v>20</v>
      </c>
      <c r="I2" s="1" t="s">
        <v>21</v>
      </c>
      <c r="J2" s="1" t="s">
        <v>16</v>
      </c>
      <c r="K2" s="1" t="s">
        <v>22</v>
      </c>
      <c r="L2" s="1" t="s">
        <v>23</v>
      </c>
      <c r="M2" s="1" t="s">
        <v>24</v>
      </c>
    </row>
    <row r="3" spans="1:13" x14ac:dyDescent="0.3">
      <c r="A3" s="1" t="s">
        <v>25</v>
      </c>
      <c r="B3" s="1" t="s">
        <v>26</v>
      </c>
      <c r="C3" s="1" t="s">
        <v>27</v>
      </c>
      <c r="D3" s="1" t="s">
        <v>28</v>
      </c>
      <c r="E3" s="1" t="s">
        <v>29</v>
      </c>
      <c r="F3" s="1" t="s">
        <v>30</v>
      </c>
      <c r="G3" s="1" t="s">
        <v>31</v>
      </c>
      <c r="H3" s="1" t="s">
        <v>32</v>
      </c>
      <c r="I3" s="1" t="s">
        <v>33</v>
      </c>
      <c r="J3" s="1" t="s">
        <v>34</v>
      </c>
      <c r="K3" s="1" t="s">
        <v>35</v>
      </c>
      <c r="L3" s="1" t="s">
        <v>23</v>
      </c>
      <c r="M3" s="1" t="s">
        <v>36</v>
      </c>
    </row>
    <row r="4" spans="1:13" x14ac:dyDescent="0.3">
      <c r="A4" s="1" t="s">
        <v>37</v>
      </c>
      <c r="B4" s="1" t="s">
        <v>38</v>
      </c>
      <c r="C4" s="1" t="s">
        <v>39</v>
      </c>
      <c r="D4" s="1" t="s">
        <v>28</v>
      </c>
      <c r="E4" s="1" t="s">
        <v>40</v>
      </c>
      <c r="F4" s="1" t="s">
        <v>41</v>
      </c>
      <c r="G4" s="1" t="s">
        <v>42</v>
      </c>
      <c r="H4" s="1" t="s">
        <v>43</v>
      </c>
      <c r="I4" s="1" t="s">
        <v>44</v>
      </c>
      <c r="J4" s="1" t="s">
        <v>45</v>
      </c>
      <c r="K4" s="1" t="s">
        <v>35</v>
      </c>
      <c r="L4" s="1" t="s">
        <v>46</v>
      </c>
      <c r="M4" s="1" t="s">
        <v>36</v>
      </c>
    </row>
    <row r="5" spans="1:13" x14ac:dyDescent="0.3">
      <c r="A5" s="1" t="s">
        <v>47</v>
      </c>
      <c r="B5" s="1" t="s">
        <v>48</v>
      </c>
      <c r="C5" s="1" t="s">
        <v>49</v>
      </c>
      <c r="D5" s="1" t="s">
        <v>50</v>
      </c>
      <c r="E5" s="1" t="s">
        <v>51</v>
      </c>
      <c r="F5" s="1" t="s">
        <v>52</v>
      </c>
      <c r="G5" s="1" t="s">
        <v>42</v>
      </c>
      <c r="H5" s="1" t="s">
        <v>53</v>
      </c>
      <c r="I5" s="1" t="s">
        <v>54</v>
      </c>
      <c r="J5" s="1" t="s">
        <v>55</v>
      </c>
      <c r="K5" s="1" t="s">
        <v>35</v>
      </c>
      <c r="L5" s="1" t="s">
        <v>46</v>
      </c>
      <c r="M5" s="1" t="s">
        <v>36</v>
      </c>
    </row>
    <row r="6" spans="1:13" x14ac:dyDescent="0.3">
      <c r="A6" s="1" t="s">
        <v>56</v>
      </c>
      <c r="B6" s="1" t="s">
        <v>57</v>
      </c>
      <c r="C6" s="1" t="s">
        <v>58</v>
      </c>
      <c r="D6" s="1" t="s">
        <v>59</v>
      </c>
      <c r="E6" s="1" t="s">
        <v>51</v>
      </c>
      <c r="F6" s="1" t="s">
        <v>52</v>
      </c>
      <c r="G6" s="1" t="s">
        <v>42</v>
      </c>
      <c r="H6" s="1" t="s">
        <v>53</v>
      </c>
      <c r="I6" s="1" t="s">
        <v>54</v>
      </c>
      <c r="J6" s="1" t="s">
        <v>55</v>
      </c>
      <c r="K6" s="1" t="s">
        <v>60</v>
      </c>
      <c r="L6" s="1" t="s">
        <v>23</v>
      </c>
      <c r="M6" s="1" t="s">
        <v>36</v>
      </c>
    </row>
    <row r="7" spans="1:13" x14ac:dyDescent="0.3">
      <c r="A7" s="1" t="s">
        <v>61</v>
      </c>
      <c r="B7" s="1" t="s">
        <v>62</v>
      </c>
      <c r="C7" s="1" t="s">
        <v>63</v>
      </c>
      <c r="D7" s="1" t="s">
        <v>59</v>
      </c>
      <c r="E7" s="1" t="s">
        <v>64</v>
      </c>
      <c r="F7" s="1" t="s">
        <v>65</v>
      </c>
      <c r="G7" s="1" t="s">
        <v>42</v>
      </c>
      <c r="H7" s="1" t="s">
        <v>66</v>
      </c>
      <c r="I7" s="1" t="s">
        <v>67</v>
      </c>
      <c r="J7" s="1" t="s">
        <v>68</v>
      </c>
      <c r="K7" s="1" t="s">
        <v>20</v>
      </c>
      <c r="L7" s="1" t="s">
        <v>46</v>
      </c>
      <c r="M7" s="1" t="s">
        <v>36</v>
      </c>
    </row>
    <row r="8" spans="1:13" x14ac:dyDescent="0.3">
      <c r="A8" s="1" t="s">
        <v>69</v>
      </c>
      <c r="B8" s="1" t="s">
        <v>70</v>
      </c>
      <c r="C8" s="1" t="s">
        <v>71</v>
      </c>
      <c r="D8" s="1" t="s">
        <v>28</v>
      </c>
      <c r="E8" s="1" t="s">
        <v>72</v>
      </c>
      <c r="F8" s="1" t="s">
        <v>73</v>
      </c>
      <c r="G8" s="1" t="s">
        <v>74</v>
      </c>
      <c r="H8" s="1" t="s">
        <v>66</v>
      </c>
      <c r="I8" s="1" t="s">
        <v>75</v>
      </c>
      <c r="J8" s="1" t="s">
        <v>76</v>
      </c>
      <c r="K8" s="1" t="s">
        <v>20</v>
      </c>
      <c r="L8" s="1" t="s">
        <v>46</v>
      </c>
      <c r="M8" s="1" t="s">
        <v>36</v>
      </c>
    </row>
    <row r="9" spans="1:13" x14ac:dyDescent="0.3">
      <c r="A9" s="1" t="s">
        <v>77</v>
      </c>
      <c r="B9" s="1" t="s">
        <v>78</v>
      </c>
      <c r="C9" s="1" t="s">
        <v>79</v>
      </c>
      <c r="D9" s="1" t="s">
        <v>59</v>
      </c>
      <c r="E9" s="1" t="s">
        <v>17</v>
      </c>
      <c r="F9" s="1" t="s">
        <v>18</v>
      </c>
      <c r="G9" s="1" t="s">
        <v>74</v>
      </c>
      <c r="H9" s="1" t="s">
        <v>43</v>
      </c>
      <c r="I9" s="1" t="s">
        <v>80</v>
      </c>
      <c r="J9" s="1" t="s">
        <v>81</v>
      </c>
      <c r="K9" s="1" t="s">
        <v>35</v>
      </c>
      <c r="L9" s="1" t="s">
        <v>46</v>
      </c>
      <c r="M9" s="1" t="s">
        <v>36</v>
      </c>
    </row>
    <row r="10" spans="1:13" x14ac:dyDescent="0.3">
      <c r="A10" s="1" t="s">
        <v>82</v>
      </c>
      <c r="B10" s="1" t="s">
        <v>83</v>
      </c>
      <c r="C10" s="1" t="s">
        <v>84</v>
      </c>
      <c r="D10" s="1" t="s">
        <v>59</v>
      </c>
      <c r="E10" s="1" t="s">
        <v>17</v>
      </c>
      <c r="F10" s="1" t="s">
        <v>18</v>
      </c>
      <c r="G10" s="1" t="s">
        <v>74</v>
      </c>
      <c r="H10" s="1" t="s">
        <v>85</v>
      </c>
      <c r="I10" s="1" t="s">
        <v>80</v>
      </c>
      <c r="J10" s="1" t="s">
        <v>81</v>
      </c>
      <c r="K10" s="1" t="s">
        <v>20</v>
      </c>
      <c r="L10" s="1" t="s">
        <v>23</v>
      </c>
      <c r="M10" s="1" t="s">
        <v>36</v>
      </c>
    </row>
    <row r="11" spans="1:13" x14ac:dyDescent="0.3">
      <c r="A11" s="1" t="s">
        <v>86</v>
      </c>
      <c r="B11" s="1" t="s">
        <v>87</v>
      </c>
      <c r="C11" s="1" t="s">
        <v>88</v>
      </c>
      <c r="D11" s="1" t="s">
        <v>50</v>
      </c>
      <c r="E11" s="1" t="s">
        <v>89</v>
      </c>
      <c r="F11" s="1" t="s">
        <v>90</v>
      </c>
      <c r="G11" s="1" t="s">
        <v>74</v>
      </c>
      <c r="H11" s="1" t="s">
        <v>91</v>
      </c>
      <c r="I11" s="1" t="s">
        <v>92</v>
      </c>
      <c r="J11" s="1" t="s">
        <v>93</v>
      </c>
      <c r="K11" s="1" t="s">
        <v>60</v>
      </c>
      <c r="L11" s="1" t="s">
        <v>46</v>
      </c>
      <c r="M11" s="1" t="s">
        <v>36</v>
      </c>
    </row>
    <row r="12" spans="1:13" x14ac:dyDescent="0.3">
      <c r="A12" s="1" t="s">
        <v>94</v>
      </c>
      <c r="B12" s="1" t="s">
        <v>95</v>
      </c>
      <c r="C12" s="1" t="s">
        <v>96</v>
      </c>
      <c r="D12" s="1" t="s">
        <v>59</v>
      </c>
      <c r="E12" s="1" t="s">
        <v>17</v>
      </c>
      <c r="F12" s="1" t="s">
        <v>18</v>
      </c>
      <c r="G12" s="1" t="s">
        <v>74</v>
      </c>
      <c r="H12" s="1" t="s">
        <v>53</v>
      </c>
      <c r="I12" s="1" t="s">
        <v>80</v>
      </c>
      <c r="J12" s="1" t="s">
        <v>81</v>
      </c>
      <c r="K12" s="1" t="s">
        <v>20</v>
      </c>
      <c r="L12" s="1" t="s">
        <v>23</v>
      </c>
      <c r="M12" s="1" t="s">
        <v>36</v>
      </c>
    </row>
    <row r="13" spans="1:13" x14ac:dyDescent="0.3">
      <c r="A13" s="1" t="s">
        <v>97</v>
      </c>
      <c r="B13" s="1" t="s">
        <v>98</v>
      </c>
      <c r="C13" s="1" t="s">
        <v>99</v>
      </c>
      <c r="D13" s="1" t="s">
        <v>28</v>
      </c>
      <c r="E13" s="1" t="s">
        <v>51</v>
      </c>
      <c r="F13" s="1" t="s">
        <v>52</v>
      </c>
      <c r="G13" s="1" t="s">
        <v>42</v>
      </c>
      <c r="H13" s="1" t="s">
        <v>53</v>
      </c>
      <c r="I13" s="1" t="s">
        <v>54</v>
      </c>
      <c r="J13" s="1" t="s">
        <v>55</v>
      </c>
      <c r="K13" s="1" t="s">
        <v>20</v>
      </c>
      <c r="L13" s="1" t="s">
        <v>23</v>
      </c>
      <c r="M13" s="1" t="s">
        <v>36</v>
      </c>
    </row>
    <row r="14" spans="1:13" x14ac:dyDescent="0.3">
      <c r="A14" s="1" t="s">
        <v>100</v>
      </c>
      <c r="B14" s="1" t="s">
        <v>101</v>
      </c>
      <c r="C14" s="1" t="s">
        <v>102</v>
      </c>
      <c r="D14" s="1" t="s">
        <v>59</v>
      </c>
      <c r="E14" s="1" t="s">
        <v>72</v>
      </c>
      <c r="F14" s="1" t="s">
        <v>73</v>
      </c>
      <c r="G14" s="1" t="s">
        <v>74</v>
      </c>
      <c r="H14" s="1" t="s">
        <v>85</v>
      </c>
      <c r="I14" s="1" t="s">
        <v>75</v>
      </c>
      <c r="J14" s="1" t="s">
        <v>76</v>
      </c>
      <c r="K14" s="1" t="s">
        <v>60</v>
      </c>
      <c r="L14" s="1" t="s">
        <v>23</v>
      </c>
      <c r="M14" s="1" t="s">
        <v>36</v>
      </c>
    </row>
    <row r="15" spans="1:13" x14ac:dyDescent="0.3">
      <c r="A15" s="1" t="s">
        <v>103</v>
      </c>
      <c r="B15" s="1" t="s">
        <v>104</v>
      </c>
      <c r="C15" s="1" t="s">
        <v>105</v>
      </c>
      <c r="D15" s="1" t="s">
        <v>59</v>
      </c>
      <c r="E15" s="1" t="s">
        <v>106</v>
      </c>
      <c r="F15" s="1" t="s">
        <v>107</v>
      </c>
      <c r="G15" s="1" t="s">
        <v>31</v>
      </c>
      <c r="H15" s="1" t="s">
        <v>43</v>
      </c>
      <c r="I15" s="1" t="s">
        <v>34</v>
      </c>
      <c r="J15" s="1" t="s">
        <v>108</v>
      </c>
      <c r="K15" s="1" t="s">
        <v>35</v>
      </c>
      <c r="L15" s="1" t="s">
        <v>23</v>
      </c>
      <c r="M15" s="1" t="s">
        <v>36</v>
      </c>
    </row>
    <row r="16" spans="1:13" x14ac:dyDescent="0.3">
      <c r="A16" s="1" t="s">
        <v>109</v>
      </c>
      <c r="B16" s="1" t="s">
        <v>110</v>
      </c>
      <c r="C16" s="1" t="s">
        <v>111</v>
      </c>
      <c r="D16" s="1" t="s">
        <v>59</v>
      </c>
      <c r="E16" s="1" t="s">
        <v>72</v>
      </c>
      <c r="F16" s="1" t="s">
        <v>73</v>
      </c>
      <c r="G16" s="1" t="s">
        <v>74</v>
      </c>
      <c r="H16" s="1" t="s">
        <v>85</v>
      </c>
      <c r="I16" s="1" t="s">
        <v>75</v>
      </c>
      <c r="J16" s="1" t="s">
        <v>76</v>
      </c>
      <c r="K16" s="1" t="s">
        <v>60</v>
      </c>
      <c r="L16" s="1" t="s">
        <v>46</v>
      </c>
      <c r="M16" s="1" t="s">
        <v>36</v>
      </c>
    </row>
    <row r="17" spans="1:13" x14ac:dyDescent="0.3">
      <c r="A17" s="1" t="s">
        <v>112</v>
      </c>
      <c r="B17" s="1" t="s">
        <v>113</v>
      </c>
      <c r="C17" s="1" t="s">
        <v>105</v>
      </c>
      <c r="D17" s="1" t="s">
        <v>50</v>
      </c>
      <c r="E17" s="1" t="s">
        <v>72</v>
      </c>
      <c r="F17" s="1" t="s">
        <v>73</v>
      </c>
      <c r="G17" s="1" t="s">
        <v>74</v>
      </c>
      <c r="H17" s="1" t="s">
        <v>85</v>
      </c>
      <c r="I17" s="1" t="s">
        <v>75</v>
      </c>
      <c r="J17" s="1" t="s">
        <v>76</v>
      </c>
      <c r="K17" s="1" t="s">
        <v>114</v>
      </c>
      <c r="L17" s="1" t="s">
        <v>23</v>
      </c>
      <c r="M17" s="1" t="s">
        <v>36</v>
      </c>
    </row>
    <row r="18" spans="1:13" x14ac:dyDescent="0.3">
      <c r="A18" s="1" t="s">
        <v>115</v>
      </c>
      <c r="B18" s="1" t="s">
        <v>116</v>
      </c>
      <c r="C18" s="1" t="s">
        <v>117</v>
      </c>
      <c r="D18" s="1" t="s">
        <v>50</v>
      </c>
      <c r="E18" s="1" t="s">
        <v>106</v>
      </c>
      <c r="F18" s="1" t="s">
        <v>107</v>
      </c>
      <c r="G18" s="1" t="s">
        <v>31</v>
      </c>
      <c r="H18" s="1" t="s">
        <v>91</v>
      </c>
      <c r="I18" s="1" t="s">
        <v>34</v>
      </c>
      <c r="J18" s="1" t="s">
        <v>108</v>
      </c>
      <c r="K18" s="1" t="s">
        <v>114</v>
      </c>
      <c r="L18" s="1" t="s">
        <v>46</v>
      </c>
      <c r="M18" s="1" t="s">
        <v>36</v>
      </c>
    </row>
    <row r="19" spans="1:13" x14ac:dyDescent="0.3">
      <c r="A19" s="1" t="s">
        <v>118</v>
      </c>
      <c r="B19" s="1" t="s">
        <v>119</v>
      </c>
      <c r="C19" s="1" t="s">
        <v>120</v>
      </c>
      <c r="D19" s="1" t="s">
        <v>59</v>
      </c>
      <c r="E19" s="1" t="s">
        <v>106</v>
      </c>
      <c r="F19" s="1" t="s">
        <v>107</v>
      </c>
      <c r="G19" s="1" t="s">
        <v>31</v>
      </c>
      <c r="H19" s="1" t="s">
        <v>32</v>
      </c>
      <c r="I19" s="1" t="s">
        <v>34</v>
      </c>
      <c r="J19" s="1" t="s">
        <v>108</v>
      </c>
      <c r="K19" s="1" t="s">
        <v>35</v>
      </c>
      <c r="L19" s="1" t="s">
        <v>23</v>
      </c>
      <c r="M19" s="1" t="s">
        <v>36</v>
      </c>
    </row>
    <row r="20" spans="1:13" x14ac:dyDescent="0.3">
      <c r="A20" s="1" t="s">
        <v>121</v>
      </c>
      <c r="B20" s="1" t="s">
        <v>122</v>
      </c>
      <c r="C20" s="1" t="s">
        <v>123</v>
      </c>
      <c r="D20" s="1" t="s">
        <v>124</v>
      </c>
      <c r="E20" s="1" t="s">
        <v>106</v>
      </c>
      <c r="F20" s="1" t="s">
        <v>107</v>
      </c>
      <c r="G20" s="1" t="s">
        <v>31</v>
      </c>
      <c r="H20" s="1" t="s">
        <v>53</v>
      </c>
      <c r="I20" s="1" t="s">
        <v>34</v>
      </c>
      <c r="J20" s="1" t="s">
        <v>108</v>
      </c>
      <c r="K20" s="1" t="s">
        <v>35</v>
      </c>
      <c r="L20" s="1" t="s">
        <v>46</v>
      </c>
      <c r="M20" s="1" t="s">
        <v>36</v>
      </c>
    </row>
    <row r="21" spans="1:13" x14ac:dyDescent="0.3">
      <c r="A21" s="1" t="s">
        <v>125</v>
      </c>
      <c r="B21" s="1" t="s">
        <v>126</v>
      </c>
      <c r="C21" s="1" t="s">
        <v>123</v>
      </c>
      <c r="D21" s="1" t="s">
        <v>28</v>
      </c>
      <c r="E21" s="1" t="s">
        <v>72</v>
      </c>
      <c r="F21" s="1" t="s">
        <v>73</v>
      </c>
      <c r="G21" s="1" t="s">
        <v>74</v>
      </c>
      <c r="H21" s="1" t="s">
        <v>127</v>
      </c>
      <c r="I21" s="1" t="s">
        <v>75</v>
      </c>
      <c r="J21" s="1" t="s">
        <v>76</v>
      </c>
      <c r="K21" s="1" t="s">
        <v>20</v>
      </c>
      <c r="L21" s="1" t="s">
        <v>23</v>
      </c>
      <c r="M21" s="1" t="s">
        <v>36</v>
      </c>
    </row>
    <row r="22" spans="1:13" x14ac:dyDescent="0.3">
      <c r="A22" s="1" t="s">
        <v>128</v>
      </c>
      <c r="B22" s="1" t="s">
        <v>129</v>
      </c>
      <c r="C22" s="1" t="s">
        <v>63</v>
      </c>
      <c r="D22" s="1" t="s">
        <v>50</v>
      </c>
      <c r="E22" s="1" t="s">
        <v>29</v>
      </c>
      <c r="F22" s="1" t="s">
        <v>30</v>
      </c>
      <c r="G22" s="1" t="s">
        <v>31</v>
      </c>
      <c r="H22" s="1" t="s">
        <v>66</v>
      </c>
      <c r="I22" s="1" t="s">
        <v>33</v>
      </c>
      <c r="J22" s="1" t="s">
        <v>34</v>
      </c>
      <c r="K22" s="1" t="s">
        <v>114</v>
      </c>
      <c r="L22" s="1" t="s">
        <v>46</v>
      </c>
      <c r="M22" s="1" t="s">
        <v>36</v>
      </c>
    </row>
    <row r="23" spans="1:13" x14ac:dyDescent="0.3">
      <c r="A23" s="1" t="s">
        <v>130</v>
      </c>
      <c r="B23" s="1" t="s">
        <v>131</v>
      </c>
      <c r="C23" s="1" t="s">
        <v>132</v>
      </c>
      <c r="D23" s="1" t="s">
        <v>28</v>
      </c>
      <c r="E23" s="1" t="s">
        <v>40</v>
      </c>
      <c r="F23" s="1" t="s">
        <v>41</v>
      </c>
      <c r="G23" s="1" t="s">
        <v>42</v>
      </c>
      <c r="H23" s="1" t="s">
        <v>91</v>
      </c>
      <c r="I23" s="1" t="s">
        <v>44</v>
      </c>
      <c r="J23" s="1" t="s">
        <v>45</v>
      </c>
      <c r="K23" s="1" t="s">
        <v>35</v>
      </c>
      <c r="L23" s="1" t="s">
        <v>23</v>
      </c>
      <c r="M23" s="1" t="s">
        <v>36</v>
      </c>
    </row>
    <row r="24" spans="1:13" x14ac:dyDescent="0.3">
      <c r="A24" s="1" t="s">
        <v>133</v>
      </c>
      <c r="B24" s="1" t="s">
        <v>134</v>
      </c>
      <c r="C24" s="1" t="s">
        <v>63</v>
      </c>
      <c r="D24" s="1" t="s">
        <v>28</v>
      </c>
      <c r="E24" s="1" t="s">
        <v>72</v>
      </c>
      <c r="F24" s="1" t="s">
        <v>73</v>
      </c>
      <c r="G24" s="1" t="s">
        <v>74</v>
      </c>
      <c r="H24" s="1" t="s">
        <v>85</v>
      </c>
      <c r="I24" s="1" t="s">
        <v>75</v>
      </c>
      <c r="J24" s="1" t="s">
        <v>76</v>
      </c>
      <c r="K24" s="1" t="s">
        <v>20</v>
      </c>
      <c r="L24" s="1" t="s">
        <v>46</v>
      </c>
      <c r="M24" s="1" t="s">
        <v>36</v>
      </c>
    </row>
    <row r="25" spans="1:13" x14ac:dyDescent="0.3">
      <c r="A25" s="1" t="s">
        <v>135</v>
      </c>
      <c r="B25" s="1" t="s">
        <v>136</v>
      </c>
      <c r="C25" s="1" t="s">
        <v>137</v>
      </c>
      <c r="D25" s="1" t="s">
        <v>28</v>
      </c>
      <c r="E25" s="1" t="s">
        <v>17</v>
      </c>
      <c r="F25" s="1" t="s">
        <v>18</v>
      </c>
      <c r="G25" s="1" t="s">
        <v>74</v>
      </c>
      <c r="H25" s="1" t="s">
        <v>91</v>
      </c>
      <c r="I25" s="1" t="s">
        <v>80</v>
      </c>
      <c r="J25" s="1" t="s">
        <v>81</v>
      </c>
      <c r="K25" s="1" t="s">
        <v>20</v>
      </c>
      <c r="L25" s="1" t="s">
        <v>23</v>
      </c>
      <c r="M25" s="1" t="s">
        <v>36</v>
      </c>
    </row>
    <row r="26" spans="1:13" x14ac:dyDescent="0.3">
      <c r="A26" s="1" t="s">
        <v>138</v>
      </c>
      <c r="B26" s="1" t="s">
        <v>139</v>
      </c>
      <c r="C26" s="1" t="s">
        <v>140</v>
      </c>
      <c r="D26" s="1" t="s">
        <v>59</v>
      </c>
      <c r="E26" s="1" t="s">
        <v>89</v>
      </c>
      <c r="F26" s="1" t="s">
        <v>90</v>
      </c>
      <c r="G26" s="1" t="s">
        <v>74</v>
      </c>
      <c r="H26" s="1" t="s">
        <v>53</v>
      </c>
      <c r="I26" s="1" t="s">
        <v>92</v>
      </c>
      <c r="J26" s="1" t="s">
        <v>93</v>
      </c>
      <c r="K26" s="1" t="s">
        <v>35</v>
      </c>
      <c r="L26" s="1" t="s">
        <v>23</v>
      </c>
      <c r="M26" s="1" t="s">
        <v>36</v>
      </c>
    </row>
    <row r="27" spans="1:13" x14ac:dyDescent="0.3">
      <c r="A27" s="1" t="s">
        <v>141</v>
      </c>
      <c r="B27" s="1" t="s">
        <v>142</v>
      </c>
      <c r="C27" s="1" t="s">
        <v>58</v>
      </c>
      <c r="D27" s="1" t="s">
        <v>50</v>
      </c>
      <c r="E27" s="1" t="s">
        <v>72</v>
      </c>
      <c r="F27" s="1" t="s">
        <v>73</v>
      </c>
      <c r="G27" s="1" t="s">
        <v>74</v>
      </c>
      <c r="H27" s="1" t="s">
        <v>85</v>
      </c>
      <c r="I27" s="1" t="s">
        <v>75</v>
      </c>
      <c r="J27" s="1" t="s">
        <v>76</v>
      </c>
      <c r="K27" s="1" t="s">
        <v>20</v>
      </c>
      <c r="L27" s="1" t="s">
        <v>46</v>
      </c>
      <c r="M27" s="1" t="s">
        <v>36</v>
      </c>
    </row>
    <row r="28" spans="1:13" x14ac:dyDescent="0.3">
      <c r="A28" s="1" t="s">
        <v>143</v>
      </c>
      <c r="B28" s="1" t="s">
        <v>144</v>
      </c>
      <c r="C28" s="1" t="s">
        <v>145</v>
      </c>
      <c r="D28" s="1" t="s">
        <v>124</v>
      </c>
      <c r="E28" s="1" t="s">
        <v>72</v>
      </c>
      <c r="F28" s="1" t="s">
        <v>73</v>
      </c>
      <c r="G28" s="1" t="s">
        <v>74</v>
      </c>
      <c r="H28" s="1" t="s">
        <v>32</v>
      </c>
      <c r="I28" s="1" t="s">
        <v>75</v>
      </c>
      <c r="J28" s="1" t="s">
        <v>76</v>
      </c>
      <c r="K28" s="1" t="s">
        <v>114</v>
      </c>
      <c r="L28" s="1" t="s">
        <v>46</v>
      </c>
      <c r="M28" s="1" t="s">
        <v>36</v>
      </c>
    </row>
    <row r="29" spans="1:13" x14ac:dyDescent="0.3">
      <c r="A29" s="1" t="s">
        <v>146</v>
      </c>
      <c r="B29" s="1" t="s">
        <v>147</v>
      </c>
      <c r="C29" s="1" t="s">
        <v>148</v>
      </c>
      <c r="D29" s="1" t="s">
        <v>50</v>
      </c>
      <c r="E29" s="1" t="s">
        <v>17</v>
      </c>
      <c r="F29" s="1" t="s">
        <v>18</v>
      </c>
      <c r="G29" s="1" t="s">
        <v>74</v>
      </c>
      <c r="H29" s="1" t="s">
        <v>149</v>
      </c>
      <c r="I29" s="1" t="s">
        <v>80</v>
      </c>
      <c r="J29" s="1" t="s">
        <v>81</v>
      </c>
      <c r="K29" s="1" t="s">
        <v>114</v>
      </c>
      <c r="L29" s="1" t="s">
        <v>23</v>
      </c>
      <c r="M29" s="1" t="s">
        <v>36</v>
      </c>
    </row>
    <row r="30" spans="1:13" x14ac:dyDescent="0.3">
      <c r="A30" s="1" t="s">
        <v>150</v>
      </c>
      <c r="B30" s="1" t="s">
        <v>151</v>
      </c>
      <c r="C30" s="1" t="s">
        <v>152</v>
      </c>
      <c r="D30" s="1" t="s">
        <v>28</v>
      </c>
      <c r="E30" s="1" t="s">
        <v>17</v>
      </c>
      <c r="F30" s="1" t="s">
        <v>18</v>
      </c>
      <c r="G30" s="1" t="s">
        <v>74</v>
      </c>
      <c r="H30" s="1" t="s">
        <v>66</v>
      </c>
      <c r="I30" s="1" t="s">
        <v>80</v>
      </c>
      <c r="J30" s="1" t="s">
        <v>81</v>
      </c>
      <c r="K30" s="1" t="s">
        <v>20</v>
      </c>
      <c r="L30" s="1" t="s">
        <v>46</v>
      </c>
      <c r="M30" s="1" t="s">
        <v>36</v>
      </c>
    </row>
    <row r="31" spans="1:13" x14ac:dyDescent="0.3">
      <c r="A31" s="1" t="s">
        <v>153</v>
      </c>
      <c r="B31" s="1" t="s">
        <v>154</v>
      </c>
      <c r="C31" s="1" t="s">
        <v>155</v>
      </c>
      <c r="D31" s="1" t="s">
        <v>156</v>
      </c>
      <c r="E31" s="1" t="s">
        <v>89</v>
      </c>
      <c r="F31" s="1" t="s">
        <v>90</v>
      </c>
      <c r="G31" s="1" t="s">
        <v>74</v>
      </c>
      <c r="H31" s="1" t="s">
        <v>32</v>
      </c>
      <c r="I31" s="1" t="s">
        <v>92</v>
      </c>
      <c r="J31" s="1" t="s">
        <v>93</v>
      </c>
      <c r="K31" s="1" t="s">
        <v>20</v>
      </c>
      <c r="L31" s="1" t="s">
        <v>46</v>
      </c>
      <c r="M31" s="1" t="s">
        <v>36</v>
      </c>
    </row>
    <row r="32" spans="1:13" x14ac:dyDescent="0.3">
      <c r="A32" s="1" t="s">
        <v>157</v>
      </c>
      <c r="B32" s="1" t="s">
        <v>158</v>
      </c>
      <c r="C32" s="1" t="s">
        <v>159</v>
      </c>
      <c r="D32" s="1" t="s">
        <v>50</v>
      </c>
      <c r="E32" s="1" t="s">
        <v>29</v>
      </c>
      <c r="F32" s="1" t="s">
        <v>30</v>
      </c>
      <c r="G32" s="1" t="s">
        <v>31</v>
      </c>
      <c r="H32" s="1" t="s">
        <v>53</v>
      </c>
      <c r="I32" s="1" t="s">
        <v>33</v>
      </c>
      <c r="J32" s="1" t="s">
        <v>34</v>
      </c>
      <c r="K32" s="1" t="s">
        <v>20</v>
      </c>
      <c r="L32" s="1" t="s">
        <v>23</v>
      </c>
      <c r="M32" s="1" t="s">
        <v>36</v>
      </c>
    </row>
    <row r="33" spans="1:13" x14ac:dyDescent="0.3">
      <c r="A33" s="1" t="s">
        <v>160</v>
      </c>
      <c r="B33" s="1" t="s">
        <v>161</v>
      </c>
      <c r="C33" s="1" t="s">
        <v>162</v>
      </c>
      <c r="D33" s="1" t="s">
        <v>50</v>
      </c>
      <c r="E33" s="1" t="s">
        <v>17</v>
      </c>
      <c r="F33" s="1" t="s">
        <v>18</v>
      </c>
      <c r="G33" s="1" t="s">
        <v>74</v>
      </c>
      <c r="H33" s="1" t="s">
        <v>149</v>
      </c>
      <c r="I33" s="1" t="s">
        <v>80</v>
      </c>
      <c r="J33" s="1" t="s">
        <v>81</v>
      </c>
      <c r="K33" s="1" t="s">
        <v>114</v>
      </c>
      <c r="L33" s="1" t="s">
        <v>23</v>
      </c>
      <c r="M33" s="1" t="s">
        <v>36</v>
      </c>
    </row>
    <row r="34" spans="1:13" x14ac:dyDescent="0.3">
      <c r="A34" s="1" t="s">
        <v>163</v>
      </c>
      <c r="B34" s="1" t="s">
        <v>131</v>
      </c>
      <c r="C34" s="1" t="s">
        <v>63</v>
      </c>
      <c r="D34" s="1" t="s">
        <v>28</v>
      </c>
      <c r="E34" s="1" t="s">
        <v>106</v>
      </c>
      <c r="F34" s="1" t="s">
        <v>107</v>
      </c>
      <c r="G34" s="1" t="s">
        <v>31</v>
      </c>
      <c r="H34" s="1" t="s">
        <v>32</v>
      </c>
      <c r="I34" s="1" t="s">
        <v>34</v>
      </c>
      <c r="J34" s="1" t="s">
        <v>108</v>
      </c>
      <c r="K34" s="1" t="s">
        <v>20</v>
      </c>
      <c r="L34" s="1" t="s">
        <v>23</v>
      </c>
      <c r="M34" s="1" t="s">
        <v>36</v>
      </c>
    </row>
    <row r="35" spans="1:13" x14ac:dyDescent="0.3">
      <c r="A35" s="1" t="s">
        <v>164</v>
      </c>
      <c r="B35" s="1" t="s">
        <v>165</v>
      </c>
      <c r="C35" s="1" t="s">
        <v>166</v>
      </c>
      <c r="D35" s="1" t="s">
        <v>28</v>
      </c>
      <c r="E35" s="1" t="s">
        <v>106</v>
      </c>
      <c r="F35" s="1" t="s">
        <v>107</v>
      </c>
      <c r="G35" s="1" t="s">
        <v>31</v>
      </c>
      <c r="H35" s="1" t="s">
        <v>149</v>
      </c>
      <c r="I35" s="1" t="s">
        <v>34</v>
      </c>
      <c r="J35" s="1" t="s">
        <v>108</v>
      </c>
      <c r="K35" s="1" t="s">
        <v>20</v>
      </c>
      <c r="L35" s="1" t="s">
        <v>23</v>
      </c>
      <c r="M35" s="1" t="s">
        <v>36</v>
      </c>
    </row>
    <row r="36" spans="1:13" x14ac:dyDescent="0.3">
      <c r="A36" s="1" t="s">
        <v>167</v>
      </c>
      <c r="B36" s="1" t="s">
        <v>168</v>
      </c>
      <c r="C36" s="1" t="s">
        <v>169</v>
      </c>
      <c r="D36" s="1" t="s">
        <v>124</v>
      </c>
      <c r="E36" s="1" t="s">
        <v>51</v>
      </c>
      <c r="F36" s="1" t="s">
        <v>52</v>
      </c>
      <c r="G36" s="1" t="s">
        <v>42</v>
      </c>
      <c r="H36" s="1" t="s">
        <v>85</v>
      </c>
      <c r="I36" s="1" t="s">
        <v>54</v>
      </c>
      <c r="J36" s="1" t="s">
        <v>55</v>
      </c>
      <c r="K36" s="1" t="s">
        <v>114</v>
      </c>
      <c r="L36" s="1" t="s">
        <v>46</v>
      </c>
      <c r="M36" s="1" t="s">
        <v>36</v>
      </c>
    </row>
    <row r="37" spans="1:13" x14ac:dyDescent="0.3">
      <c r="A37" s="1" t="s">
        <v>170</v>
      </c>
      <c r="B37" s="1" t="s">
        <v>171</v>
      </c>
      <c r="C37" s="1" t="s">
        <v>71</v>
      </c>
      <c r="D37" s="1" t="s">
        <v>50</v>
      </c>
      <c r="E37" s="1" t="s">
        <v>64</v>
      </c>
      <c r="F37" s="1" t="s">
        <v>65</v>
      </c>
      <c r="G37" s="1" t="s">
        <v>42</v>
      </c>
      <c r="H37" s="1" t="s">
        <v>43</v>
      </c>
      <c r="I37" s="1" t="s">
        <v>67</v>
      </c>
      <c r="J37" s="1" t="s">
        <v>68</v>
      </c>
      <c r="K37" s="1" t="s">
        <v>114</v>
      </c>
      <c r="L37" s="1" t="s">
        <v>23</v>
      </c>
      <c r="M37" s="1" t="s">
        <v>172</v>
      </c>
    </row>
    <row r="38" spans="1:13" x14ac:dyDescent="0.3">
      <c r="A38" s="1" t="s">
        <v>173</v>
      </c>
      <c r="B38" s="1" t="s">
        <v>174</v>
      </c>
      <c r="C38" s="1" t="s">
        <v>175</v>
      </c>
      <c r="D38" s="1" t="s">
        <v>50</v>
      </c>
      <c r="E38" s="1" t="s">
        <v>106</v>
      </c>
      <c r="F38" s="1" t="s">
        <v>107</v>
      </c>
      <c r="G38" s="1" t="s">
        <v>31</v>
      </c>
      <c r="H38" s="1" t="s">
        <v>127</v>
      </c>
      <c r="I38" s="1" t="s">
        <v>34</v>
      </c>
      <c r="J38" s="1" t="s">
        <v>108</v>
      </c>
      <c r="K38" s="1" t="s">
        <v>35</v>
      </c>
      <c r="L38" s="1" t="s">
        <v>46</v>
      </c>
      <c r="M38" s="1" t="s">
        <v>36</v>
      </c>
    </row>
    <row r="39" spans="1:13" x14ac:dyDescent="0.3">
      <c r="A39" s="1" t="s">
        <v>176</v>
      </c>
      <c r="B39" s="1" t="s">
        <v>177</v>
      </c>
      <c r="C39" s="1" t="s">
        <v>105</v>
      </c>
      <c r="D39" s="1" t="s">
        <v>59</v>
      </c>
      <c r="E39" s="1" t="s">
        <v>17</v>
      </c>
      <c r="F39" s="1" t="s">
        <v>18</v>
      </c>
      <c r="G39" s="1" t="s">
        <v>74</v>
      </c>
      <c r="H39" s="1" t="s">
        <v>66</v>
      </c>
      <c r="I39" s="1" t="s">
        <v>80</v>
      </c>
      <c r="J39" s="1" t="s">
        <v>81</v>
      </c>
      <c r="K39" s="1" t="s">
        <v>60</v>
      </c>
      <c r="L39" s="1" t="s">
        <v>46</v>
      </c>
      <c r="M39" s="1" t="s">
        <v>36</v>
      </c>
    </row>
    <row r="40" spans="1:13" x14ac:dyDescent="0.3">
      <c r="A40" s="1" t="s">
        <v>178</v>
      </c>
      <c r="B40" s="1" t="s">
        <v>179</v>
      </c>
      <c r="C40" s="1" t="s">
        <v>88</v>
      </c>
      <c r="D40" s="1" t="s">
        <v>28</v>
      </c>
      <c r="E40" s="1" t="s">
        <v>64</v>
      </c>
      <c r="F40" s="1" t="s">
        <v>65</v>
      </c>
      <c r="G40" s="1" t="s">
        <v>42</v>
      </c>
      <c r="H40" s="1" t="s">
        <v>53</v>
      </c>
      <c r="I40" s="1" t="s">
        <v>67</v>
      </c>
      <c r="J40" s="1" t="s">
        <v>68</v>
      </c>
      <c r="K40" s="1" t="s">
        <v>114</v>
      </c>
      <c r="L40" s="1" t="s">
        <v>46</v>
      </c>
      <c r="M40" s="1" t="s">
        <v>36</v>
      </c>
    </row>
    <row r="41" spans="1:13" x14ac:dyDescent="0.3">
      <c r="A41" s="1" t="s">
        <v>180</v>
      </c>
      <c r="B41" s="1" t="s">
        <v>181</v>
      </c>
      <c r="C41" s="1" t="s">
        <v>182</v>
      </c>
      <c r="D41" s="1" t="s">
        <v>50</v>
      </c>
      <c r="E41" s="1" t="s">
        <v>106</v>
      </c>
      <c r="F41" s="1" t="s">
        <v>107</v>
      </c>
      <c r="G41" s="1" t="s">
        <v>31</v>
      </c>
      <c r="H41" s="1" t="s">
        <v>85</v>
      </c>
      <c r="I41" s="1" t="s">
        <v>34</v>
      </c>
      <c r="J41" s="1" t="s">
        <v>108</v>
      </c>
      <c r="K41" s="1" t="s">
        <v>60</v>
      </c>
      <c r="L41" s="1" t="s">
        <v>23</v>
      </c>
      <c r="M41" s="1" t="s">
        <v>36</v>
      </c>
    </row>
    <row r="42" spans="1:13" x14ac:dyDescent="0.3">
      <c r="A42" s="1" t="s">
        <v>183</v>
      </c>
      <c r="B42" s="1" t="s">
        <v>184</v>
      </c>
      <c r="C42" s="1" t="s">
        <v>185</v>
      </c>
      <c r="D42" s="1" t="s">
        <v>28</v>
      </c>
      <c r="E42" s="1" t="s">
        <v>51</v>
      </c>
      <c r="F42" s="1" t="s">
        <v>52</v>
      </c>
      <c r="G42" s="1" t="s">
        <v>42</v>
      </c>
      <c r="H42" s="1" t="s">
        <v>66</v>
      </c>
      <c r="I42" s="1" t="s">
        <v>54</v>
      </c>
      <c r="J42" s="1" t="s">
        <v>55</v>
      </c>
      <c r="K42" s="1" t="s">
        <v>114</v>
      </c>
      <c r="L42" s="1" t="s">
        <v>23</v>
      </c>
      <c r="M42" s="1" t="s">
        <v>36</v>
      </c>
    </row>
    <row r="43" spans="1:13" x14ac:dyDescent="0.3">
      <c r="A43" s="1" t="s">
        <v>186</v>
      </c>
      <c r="B43" s="1" t="s">
        <v>187</v>
      </c>
      <c r="C43" s="1" t="s">
        <v>111</v>
      </c>
      <c r="D43" s="1" t="s">
        <v>50</v>
      </c>
      <c r="E43" s="1" t="s">
        <v>64</v>
      </c>
      <c r="F43" s="1" t="s">
        <v>65</v>
      </c>
      <c r="G43" s="1" t="s">
        <v>188</v>
      </c>
      <c r="H43" s="1" t="s">
        <v>91</v>
      </c>
      <c r="I43" s="1" t="s">
        <v>67</v>
      </c>
      <c r="J43" s="1" t="s">
        <v>68</v>
      </c>
      <c r="K43" s="1" t="s">
        <v>35</v>
      </c>
      <c r="L43" s="1" t="s">
        <v>23</v>
      </c>
      <c r="M43" s="1" t="s">
        <v>36</v>
      </c>
    </row>
    <row r="44" spans="1:13" x14ac:dyDescent="0.3">
      <c r="A44" s="1" t="s">
        <v>189</v>
      </c>
      <c r="B44" s="1" t="s">
        <v>190</v>
      </c>
      <c r="C44" s="1" t="s">
        <v>191</v>
      </c>
      <c r="D44" s="1" t="s">
        <v>28</v>
      </c>
      <c r="E44" s="1" t="s">
        <v>64</v>
      </c>
      <c r="F44" s="1" t="s">
        <v>65</v>
      </c>
      <c r="G44" s="1" t="s">
        <v>42</v>
      </c>
      <c r="H44" s="1" t="s">
        <v>85</v>
      </c>
      <c r="I44" s="1" t="s">
        <v>67</v>
      </c>
      <c r="J44" s="1" t="s">
        <v>68</v>
      </c>
      <c r="K44" s="1" t="s">
        <v>35</v>
      </c>
      <c r="L44" s="1" t="s">
        <v>23</v>
      </c>
      <c r="M44" s="1" t="s">
        <v>36</v>
      </c>
    </row>
    <row r="45" spans="1:13" x14ac:dyDescent="0.3">
      <c r="A45" s="1" t="s">
        <v>192</v>
      </c>
      <c r="B45" s="1" t="s">
        <v>193</v>
      </c>
      <c r="C45" s="1" t="s">
        <v>194</v>
      </c>
      <c r="D45" s="1" t="s">
        <v>59</v>
      </c>
      <c r="E45" s="1" t="s">
        <v>51</v>
      </c>
      <c r="F45" s="1" t="s">
        <v>52</v>
      </c>
      <c r="G45" s="1" t="s">
        <v>42</v>
      </c>
      <c r="H45" s="1" t="s">
        <v>66</v>
      </c>
      <c r="I45" s="1" t="s">
        <v>54</v>
      </c>
      <c r="J45" s="1" t="s">
        <v>55</v>
      </c>
      <c r="K45" s="1" t="s">
        <v>20</v>
      </c>
      <c r="L45" s="1" t="s">
        <v>46</v>
      </c>
      <c r="M45" s="1" t="s">
        <v>36</v>
      </c>
    </row>
    <row r="46" spans="1:13" x14ac:dyDescent="0.3">
      <c r="A46" s="1" t="s">
        <v>195</v>
      </c>
      <c r="B46" s="1" t="s">
        <v>196</v>
      </c>
      <c r="C46" s="1" t="s">
        <v>197</v>
      </c>
      <c r="D46" s="1" t="s">
        <v>50</v>
      </c>
      <c r="E46" s="1" t="s">
        <v>89</v>
      </c>
      <c r="F46" s="1" t="s">
        <v>90</v>
      </c>
      <c r="G46" s="1" t="s">
        <v>74</v>
      </c>
      <c r="H46" s="1" t="s">
        <v>53</v>
      </c>
      <c r="I46" s="1" t="s">
        <v>92</v>
      </c>
      <c r="J46" s="1" t="s">
        <v>93</v>
      </c>
      <c r="K46" s="1" t="s">
        <v>60</v>
      </c>
      <c r="L46" s="1" t="s">
        <v>23</v>
      </c>
      <c r="M46" s="1" t="s">
        <v>36</v>
      </c>
    </row>
    <row r="47" spans="1:13" x14ac:dyDescent="0.3">
      <c r="A47" s="1" t="s">
        <v>198</v>
      </c>
      <c r="B47" s="1" t="s">
        <v>199</v>
      </c>
      <c r="C47" s="1" t="s">
        <v>194</v>
      </c>
      <c r="D47" s="1" t="s">
        <v>28</v>
      </c>
      <c r="E47" s="1" t="s">
        <v>106</v>
      </c>
      <c r="F47" s="1" t="s">
        <v>107</v>
      </c>
      <c r="G47" s="1" t="s">
        <v>31</v>
      </c>
      <c r="H47" s="1" t="s">
        <v>91</v>
      </c>
      <c r="I47" s="1" t="s">
        <v>34</v>
      </c>
      <c r="J47" s="1" t="s">
        <v>108</v>
      </c>
      <c r="K47" s="1" t="s">
        <v>60</v>
      </c>
      <c r="L47" s="1" t="s">
        <v>46</v>
      </c>
      <c r="M47" s="1" t="s">
        <v>36</v>
      </c>
    </row>
    <row r="48" spans="1:13" x14ac:dyDescent="0.3">
      <c r="A48" s="1" t="s">
        <v>200</v>
      </c>
      <c r="B48" s="1" t="s">
        <v>201</v>
      </c>
      <c r="C48" s="1" t="s">
        <v>202</v>
      </c>
      <c r="D48" s="1" t="s">
        <v>50</v>
      </c>
      <c r="E48" s="1" t="s">
        <v>17</v>
      </c>
      <c r="F48" s="1" t="s">
        <v>18</v>
      </c>
      <c r="G48" s="1" t="s">
        <v>74</v>
      </c>
      <c r="H48" s="1" t="s">
        <v>149</v>
      </c>
      <c r="I48" s="1" t="s">
        <v>80</v>
      </c>
      <c r="J48" s="1" t="s">
        <v>81</v>
      </c>
      <c r="K48" s="1" t="s">
        <v>20</v>
      </c>
      <c r="L48" s="1" t="s">
        <v>23</v>
      </c>
      <c r="M48" s="1" t="s">
        <v>36</v>
      </c>
    </row>
    <row r="49" spans="1:13" x14ac:dyDescent="0.3">
      <c r="A49" s="1" t="s">
        <v>203</v>
      </c>
      <c r="B49" s="1" t="s">
        <v>204</v>
      </c>
      <c r="C49" s="1" t="s">
        <v>205</v>
      </c>
      <c r="D49" s="1" t="s">
        <v>124</v>
      </c>
      <c r="E49" s="1" t="s">
        <v>17</v>
      </c>
      <c r="F49" s="1" t="s">
        <v>18</v>
      </c>
      <c r="G49" s="1" t="s">
        <v>74</v>
      </c>
      <c r="H49" s="1" t="s">
        <v>43</v>
      </c>
      <c r="I49" s="1" t="s">
        <v>80</v>
      </c>
      <c r="J49" s="1" t="s">
        <v>81</v>
      </c>
      <c r="K49" s="1" t="s">
        <v>206</v>
      </c>
      <c r="L49" s="1" t="s">
        <v>46</v>
      </c>
      <c r="M49" s="1" t="s">
        <v>36</v>
      </c>
    </row>
    <row r="50" spans="1:13" x14ac:dyDescent="0.3">
      <c r="A50" s="1" t="s">
        <v>207</v>
      </c>
      <c r="B50" s="1" t="s">
        <v>48</v>
      </c>
      <c r="C50" s="1" t="s">
        <v>105</v>
      </c>
      <c r="D50" s="1" t="s">
        <v>50</v>
      </c>
      <c r="E50" s="1" t="s">
        <v>40</v>
      </c>
      <c r="F50" s="1" t="s">
        <v>41</v>
      </c>
      <c r="G50" s="1" t="s">
        <v>42</v>
      </c>
      <c r="H50" s="1" t="s">
        <v>66</v>
      </c>
      <c r="I50" s="1" t="s">
        <v>44</v>
      </c>
      <c r="J50" s="1" t="s">
        <v>45</v>
      </c>
      <c r="K50" s="1" t="s">
        <v>35</v>
      </c>
      <c r="L50" s="1" t="s">
        <v>23</v>
      </c>
      <c r="M50" s="1" t="s">
        <v>36</v>
      </c>
    </row>
    <row r="51" spans="1:13" x14ac:dyDescent="0.3">
      <c r="A51" s="1" t="s">
        <v>208</v>
      </c>
      <c r="B51" s="1" t="s">
        <v>209</v>
      </c>
      <c r="C51" s="1" t="s">
        <v>88</v>
      </c>
      <c r="D51" s="1" t="s">
        <v>124</v>
      </c>
      <c r="E51" s="1" t="s">
        <v>72</v>
      </c>
      <c r="F51" s="1" t="s">
        <v>73</v>
      </c>
      <c r="G51" s="1" t="s">
        <v>74</v>
      </c>
      <c r="H51" s="1" t="s">
        <v>43</v>
      </c>
      <c r="I51" s="1" t="s">
        <v>75</v>
      </c>
      <c r="J51" s="1" t="s">
        <v>76</v>
      </c>
      <c r="K51" s="1" t="s">
        <v>20</v>
      </c>
      <c r="L51" s="1" t="s">
        <v>46</v>
      </c>
      <c r="M51" s="1" t="s">
        <v>36</v>
      </c>
    </row>
    <row r="52" spans="1:13" x14ac:dyDescent="0.3">
      <c r="A52" s="1" t="s">
        <v>210</v>
      </c>
      <c r="B52" s="1" t="s">
        <v>165</v>
      </c>
      <c r="C52" s="1" t="s">
        <v>211</v>
      </c>
      <c r="D52" s="1" t="s">
        <v>50</v>
      </c>
      <c r="E52" s="1" t="s">
        <v>89</v>
      </c>
      <c r="F52" s="1" t="s">
        <v>90</v>
      </c>
      <c r="G52" s="1" t="s">
        <v>74</v>
      </c>
      <c r="H52" s="1" t="s">
        <v>91</v>
      </c>
      <c r="I52" s="1" t="s">
        <v>92</v>
      </c>
      <c r="J52" s="1" t="s">
        <v>93</v>
      </c>
      <c r="K52" s="1" t="s">
        <v>20</v>
      </c>
      <c r="L52" s="1" t="s">
        <v>46</v>
      </c>
      <c r="M52" s="1" t="s">
        <v>36</v>
      </c>
    </row>
    <row r="53" spans="1:13" x14ac:dyDescent="0.3">
      <c r="A53" s="1" t="s">
        <v>212</v>
      </c>
      <c r="B53" s="1" t="s">
        <v>151</v>
      </c>
      <c r="C53" s="1" t="s">
        <v>213</v>
      </c>
      <c r="D53" s="1" t="s">
        <v>59</v>
      </c>
      <c r="E53" s="1" t="s">
        <v>17</v>
      </c>
      <c r="F53" s="1" t="s">
        <v>18</v>
      </c>
      <c r="G53" s="1" t="s">
        <v>74</v>
      </c>
      <c r="H53" s="1" t="s">
        <v>85</v>
      </c>
      <c r="I53" s="1" t="s">
        <v>80</v>
      </c>
      <c r="J53" s="1" t="s">
        <v>81</v>
      </c>
      <c r="K53" s="1" t="s">
        <v>20</v>
      </c>
      <c r="L53" s="1" t="s">
        <v>23</v>
      </c>
      <c r="M53" s="1" t="s">
        <v>36</v>
      </c>
    </row>
    <row r="54" spans="1:13" x14ac:dyDescent="0.3">
      <c r="A54" s="1" t="s">
        <v>214</v>
      </c>
      <c r="B54" s="1" t="s">
        <v>215</v>
      </c>
      <c r="C54" s="1" t="s">
        <v>216</v>
      </c>
      <c r="D54" s="1" t="s">
        <v>28</v>
      </c>
      <c r="E54" s="1" t="s">
        <v>40</v>
      </c>
      <c r="F54" s="1" t="s">
        <v>41</v>
      </c>
      <c r="G54" s="1" t="s">
        <v>42</v>
      </c>
      <c r="H54" s="1" t="s">
        <v>149</v>
      </c>
      <c r="I54" s="1" t="s">
        <v>44</v>
      </c>
      <c r="J54" s="1" t="s">
        <v>45</v>
      </c>
      <c r="K54" s="1" t="s">
        <v>35</v>
      </c>
      <c r="L54" s="1" t="s">
        <v>46</v>
      </c>
      <c r="M54" s="1" t="s">
        <v>36</v>
      </c>
    </row>
    <row r="55" spans="1:13" x14ac:dyDescent="0.3">
      <c r="A55" s="1" t="s">
        <v>217</v>
      </c>
      <c r="B55" s="1" t="s">
        <v>218</v>
      </c>
      <c r="C55" s="1" t="s">
        <v>175</v>
      </c>
      <c r="D55" s="1" t="s">
        <v>28</v>
      </c>
      <c r="E55" s="1" t="s">
        <v>89</v>
      </c>
      <c r="F55" s="1" t="s">
        <v>90</v>
      </c>
      <c r="G55" s="1" t="s">
        <v>74</v>
      </c>
      <c r="H55" s="1" t="s">
        <v>85</v>
      </c>
      <c r="I55" s="1" t="s">
        <v>219</v>
      </c>
      <c r="J55" s="1" t="s">
        <v>93</v>
      </c>
      <c r="K55" s="1" t="s">
        <v>114</v>
      </c>
      <c r="L55" s="1" t="s">
        <v>46</v>
      </c>
      <c r="M55" s="1" t="s">
        <v>36</v>
      </c>
    </row>
    <row r="56" spans="1:13" x14ac:dyDescent="0.3">
      <c r="A56" s="1" t="s">
        <v>220</v>
      </c>
      <c r="B56" s="1" t="s">
        <v>221</v>
      </c>
      <c r="C56" s="1" t="s">
        <v>222</v>
      </c>
      <c r="D56" s="1" t="s">
        <v>28</v>
      </c>
      <c r="E56" s="1" t="s">
        <v>72</v>
      </c>
      <c r="F56" s="1" t="s">
        <v>73</v>
      </c>
      <c r="G56" s="1" t="s">
        <v>74</v>
      </c>
      <c r="H56" s="1" t="s">
        <v>91</v>
      </c>
      <c r="I56" s="1" t="s">
        <v>75</v>
      </c>
      <c r="J56" s="1" t="s">
        <v>76</v>
      </c>
      <c r="K56" s="1" t="s">
        <v>114</v>
      </c>
      <c r="L56" s="1" t="s">
        <v>23</v>
      </c>
      <c r="M56" s="1" t="s">
        <v>36</v>
      </c>
    </row>
    <row r="57" spans="1:13" x14ac:dyDescent="0.3">
      <c r="A57" s="1" t="s">
        <v>223</v>
      </c>
      <c r="B57" s="1" t="s">
        <v>224</v>
      </c>
      <c r="C57" s="1" t="s">
        <v>79</v>
      </c>
      <c r="D57" s="1" t="s">
        <v>50</v>
      </c>
      <c r="E57" s="1" t="s">
        <v>64</v>
      </c>
      <c r="F57" s="1" t="s">
        <v>65</v>
      </c>
      <c r="G57" s="1" t="s">
        <v>42</v>
      </c>
      <c r="H57" s="1" t="s">
        <v>149</v>
      </c>
      <c r="I57" s="1" t="s">
        <v>67</v>
      </c>
      <c r="J57" s="1" t="s">
        <v>68</v>
      </c>
      <c r="K57" s="1" t="s">
        <v>60</v>
      </c>
      <c r="L57" s="1" t="s">
        <v>46</v>
      </c>
      <c r="M57" s="1" t="s">
        <v>36</v>
      </c>
    </row>
    <row r="58" spans="1:13" x14ac:dyDescent="0.3">
      <c r="A58" s="1" t="s">
        <v>225</v>
      </c>
      <c r="B58" s="1" t="s">
        <v>226</v>
      </c>
      <c r="C58" s="1" t="s">
        <v>227</v>
      </c>
      <c r="D58" s="1" t="s">
        <v>50</v>
      </c>
      <c r="E58" s="1" t="s">
        <v>17</v>
      </c>
      <c r="F58" s="1" t="s">
        <v>18</v>
      </c>
      <c r="G58" s="1" t="s">
        <v>74</v>
      </c>
      <c r="H58" s="1" t="s">
        <v>91</v>
      </c>
      <c r="I58" s="1" t="s">
        <v>80</v>
      </c>
      <c r="J58" s="1" t="s">
        <v>81</v>
      </c>
      <c r="K58" s="1" t="s">
        <v>35</v>
      </c>
      <c r="L58" s="1" t="s">
        <v>23</v>
      </c>
      <c r="M58" s="1" t="s">
        <v>36</v>
      </c>
    </row>
    <row r="59" spans="1:13" x14ac:dyDescent="0.3">
      <c r="A59" s="1" t="s">
        <v>228</v>
      </c>
      <c r="B59" s="1" t="s">
        <v>229</v>
      </c>
      <c r="C59" s="1" t="s">
        <v>155</v>
      </c>
      <c r="D59" s="1" t="s">
        <v>50</v>
      </c>
      <c r="E59" s="1" t="s">
        <v>17</v>
      </c>
      <c r="F59" s="1" t="s">
        <v>18</v>
      </c>
      <c r="G59" s="1" t="s">
        <v>74</v>
      </c>
      <c r="H59" s="1" t="s">
        <v>43</v>
      </c>
      <c r="I59" s="1" t="s">
        <v>80</v>
      </c>
      <c r="J59" s="1" t="s">
        <v>81</v>
      </c>
      <c r="K59" s="1" t="s">
        <v>20</v>
      </c>
      <c r="L59" s="1" t="s">
        <v>46</v>
      </c>
      <c r="M59" s="1" t="s">
        <v>36</v>
      </c>
    </row>
    <row r="60" spans="1:13" x14ac:dyDescent="0.3">
      <c r="A60" s="1" t="s">
        <v>230</v>
      </c>
      <c r="B60" s="1" t="s">
        <v>231</v>
      </c>
      <c r="C60" s="1" t="s">
        <v>232</v>
      </c>
      <c r="D60" s="1" t="s">
        <v>233</v>
      </c>
      <c r="E60" s="1" t="s">
        <v>17</v>
      </c>
      <c r="F60" s="1" t="s">
        <v>18</v>
      </c>
      <c r="G60" s="1" t="s">
        <v>74</v>
      </c>
      <c r="H60" s="1" t="s">
        <v>85</v>
      </c>
      <c r="I60" s="1" t="s">
        <v>80</v>
      </c>
      <c r="J60" s="1" t="s">
        <v>81</v>
      </c>
      <c r="K60" s="1" t="s">
        <v>114</v>
      </c>
      <c r="L60" s="1" t="s">
        <v>23</v>
      </c>
      <c r="M60" s="1" t="s">
        <v>36</v>
      </c>
    </row>
    <row r="61" spans="1:13" x14ac:dyDescent="0.3">
      <c r="A61" s="1" t="s">
        <v>234</v>
      </c>
      <c r="B61" s="1" t="s">
        <v>122</v>
      </c>
      <c r="C61" s="1" t="s">
        <v>235</v>
      </c>
      <c r="D61" s="1" t="s">
        <v>28</v>
      </c>
      <c r="E61" s="1" t="s">
        <v>40</v>
      </c>
      <c r="F61" s="1" t="s">
        <v>41</v>
      </c>
      <c r="G61" s="1" t="s">
        <v>42</v>
      </c>
      <c r="H61" s="1" t="s">
        <v>85</v>
      </c>
      <c r="I61" s="1" t="s">
        <v>44</v>
      </c>
      <c r="J61" s="1" t="s">
        <v>45</v>
      </c>
      <c r="K61" s="1" t="s">
        <v>35</v>
      </c>
      <c r="L61" s="1" t="s">
        <v>23</v>
      </c>
      <c r="M61" s="1" t="s">
        <v>36</v>
      </c>
    </row>
    <row r="62" spans="1:13" x14ac:dyDescent="0.3">
      <c r="A62" s="1" t="s">
        <v>236</v>
      </c>
      <c r="B62" s="1" t="s">
        <v>237</v>
      </c>
      <c r="C62" s="1" t="s">
        <v>238</v>
      </c>
      <c r="D62" s="1" t="s">
        <v>28</v>
      </c>
      <c r="E62" s="1" t="s">
        <v>72</v>
      </c>
      <c r="F62" s="1" t="s">
        <v>73</v>
      </c>
      <c r="G62" s="1" t="s">
        <v>74</v>
      </c>
      <c r="H62" s="1" t="s">
        <v>32</v>
      </c>
      <c r="I62" s="1" t="s">
        <v>75</v>
      </c>
      <c r="J62" s="1" t="s">
        <v>76</v>
      </c>
      <c r="K62" s="1" t="s">
        <v>60</v>
      </c>
      <c r="L62" s="1" t="s">
        <v>23</v>
      </c>
      <c r="M62" s="1" t="s">
        <v>36</v>
      </c>
    </row>
    <row r="63" spans="1:13" x14ac:dyDescent="0.3">
      <c r="A63" s="1" t="s">
        <v>239</v>
      </c>
      <c r="B63" s="1" t="s">
        <v>240</v>
      </c>
      <c r="C63" s="1" t="s">
        <v>197</v>
      </c>
      <c r="D63" s="1" t="s">
        <v>28</v>
      </c>
      <c r="E63" s="1" t="s">
        <v>17</v>
      </c>
      <c r="F63" s="1" t="s">
        <v>18</v>
      </c>
      <c r="G63" s="1" t="s">
        <v>74</v>
      </c>
      <c r="H63" s="1" t="s">
        <v>43</v>
      </c>
      <c r="I63" s="1" t="s">
        <v>80</v>
      </c>
      <c r="J63" s="1" t="s">
        <v>81</v>
      </c>
      <c r="K63" s="1" t="s">
        <v>114</v>
      </c>
      <c r="L63" s="1" t="s">
        <v>23</v>
      </c>
      <c r="M63" s="1" t="s">
        <v>36</v>
      </c>
    </row>
    <row r="64" spans="1:13" x14ac:dyDescent="0.3">
      <c r="A64" s="1" t="s">
        <v>241</v>
      </c>
      <c r="B64" s="1" t="s">
        <v>168</v>
      </c>
      <c r="C64" s="1" t="s">
        <v>148</v>
      </c>
      <c r="D64" s="1" t="s">
        <v>28</v>
      </c>
      <c r="E64" s="1" t="s">
        <v>51</v>
      </c>
      <c r="F64" s="1" t="s">
        <v>52</v>
      </c>
      <c r="G64" s="1" t="s">
        <v>42</v>
      </c>
      <c r="H64" s="1" t="s">
        <v>91</v>
      </c>
      <c r="I64" s="1" t="s">
        <v>54</v>
      </c>
      <c r="J64" s="1" t="s">
        <v>55</v>
      </c>
      <c r="K64" s="1" t="s">
        <v>35</v>
      </c>
      <c r="L64" s="1" t="s">
        <v>46</v>
      </c>
      <c r="M64" s="1" t="s">
        <v>36</v>
      </c>
    </row>
    <row r="65" spans="1:13" x14ac:dyDescent="0.3">
      <c r="A65" s="1" t="s">
        <v>242</v>
      </c>
      <c r="B65" s="1" t="s">
        <v>218</v>
      </c>
      <c r="C65" s="1" t="s">
        <v>243</v>
      </c>
      <c r="D65" s="1" t="s">
        <v>28</v>
      </c>
      <c r="E65" s="1" t="s">
        <v>64</v>
      </c>
      <c r="F65" s="1" t="s">
        <v>65</v>
      </c>
      <c r="G65" s="1" t="s">
        <v>42</v>
      </c>
      <c r="H65" s="1" t="s">
        <v>91</v>
      </c>
      <c r="I65" s="1" t="s">
        <v>67</v>
      </c>
      <c r="J65" s="1" t="s">
        <v>68</v>
      </c>
      <c r="K65" s="1" t="s">
        <v>114</v>
      </c>
      <c r="L65" s="1" t="s">
        <v>23</v>
      </c>
      <c r="M65" s="1" t="s">
        <v>36</v>
      </c>
    </row>
    <row r="66" spans="1:13" x14ac:dyDescent="0.3">
      <c r="A66" s="1" t="s">
        <v>244</v>
      </c>
      <c r="B66" s="1" t="s">
        <v>245</v>
      </c>
      <c r="C66" s="1" t="s">
        <v>155</v>
      </c>
      <c r="D66" s="1" t="s">
        <v>124</v>
      </c>
      <c r="E66" s="1" t="s">
        <v>72</v>
      </c>
      <c r="F66" s="1" t="s">
        <v>73</v>
      </c>
      <c r="G66" s="1" t="s">
        <v>74</v>
      </c>
      <c r="H66" s="1" t="s">
        <v>32</v>
      </c>
      <c r="I66" s="1" t="s">
        <v>75</v>
      </c>
      <c r="J66" s="1" t="s">
        <v>76</v>
      </c>
      <c r="K66" s="1" t="s">
        <v>114</v>
      </c>
      <c r="L66" s="1" t="s">
        <v>23</v>
      </c>
      <c r="M66" s="1" t="s">
        <v>36</v>
      </c>
    </row>
    <row r="67" spans="1:13" x14ac:dyDescent="0.3">
      <c r="A67" s="1" t="s">
        <v>246</v>
      </c>
      <c r="B67" s="1" t="s">
        <v>247</v>
      </c>
      <c r="C67" s="1" t="s">
        <v>248</v>
      </c>
      <c r="D67" s="1" t="s">
        <v>28</v>
      </c>
      <c r="E67" s="1" t="s">
        <v>40</v>
      </c>
      <c r="F67" s="1" t="s">
        <v>41</v>
      </c>
      <c r="G67" s="1" t="s">
        <v>42</v>
      </c>
      <c r="H67" s="1" t="s">
        <v>85</v>
      </c>
      <c r="I67" s="1" t="s">
        <v>44</v>
      </c>
      <c r="J67" s="1" t="s">
        <v>45</v>
      </c>
      <c r="K67" s="1" t="s">
        <v>60</v>
      </c>
      <c r="L67" s="1" t="s">
        <v>23</v>
      </c>
      <c r="M67" s="1" t="s">
        <v>36</v>
      </c>
    </row>
    <row r="68" spans="1:13" x14ac:dyDescent="0.3">
      <c r="A68" s="1" t="s">
        <v>249</v>
      </c>
      <c r="B68" s="1" t="s">
        <v>250</v>
      </c>
      <c r="C68" s="1" t="s">
        <v>251</v>
      </c>
      <c r="D68" s="1" t="s">
        <v>59</v>
      </c>
      <c r="E68" s="1" t="s">
        <v>40</v>
      </c>
      <c r="F68" s="1" t="s">
        <v>41</v>
      </c>
      <c r="G68" s="1" t="s">
        <v>42</v>
      </c>
      <c r="H68" s="1" t="s">
        <v>85</v>
      </c>
      <c r="I68" s="1" t="s">
        <v>44</v>
      </c>
      <c r="J68" s="1" t="s">
        <v>45</v>
      </c>
      <c r="K68" s="1" t="s">
        <v>20</v>
      </c>
      <c r="L68" s="1" t="s">
        <v>46</v>
      </c>
      <c r="M68" s="1" t="s">
        <v>36</v>
      </c>
    </row>
    <row r="69" spans="1:13" x14ac:dyDescent="0.3">
      <c r="A69" s="1" t="s">
        <v>252</v>
      </c>
      <c r="B69" s="1" t="s">
        <v>253</v>
      </c>
      <c r="C69" s="1" t="s">
        <v>254</v>
      </c>
      <c r="D69" s="1" t="s">
        <v>59</v>
      </c>
      <c r="E69" s="1" t="s">
        <v>40</v>
      </c>
      <c r="F69" s="1" t="s">
        <v>41</v>
      </c>
      <c r="G69" s="1" t="s">
        <v>42</v>
      </c>
      <c r="H69" s="1" t="s">
        <v>66</v>
      </c>
      <c r="I69" s="1" t="s">
        <v>44</v>
      </c>
      <c r="J69" s="1" t="s">
        <v>45</v>
      </c>
      <c r="K69" s="1" t="s">
        <v>35</v>
      </c>
      <c r="L69" s="1" t="s">
        <v>46</v>
      </c>
      <c r="M69" s="1" t="s">
        <v>24</v>
      </c>
    </row>
    <row r="70" spans="1:13" x14ac:dyDescent="0.3">
      <c r="A70" s="1" t="s">
        <v>255</v>
      </c>
      <c r="B70" s="1" t="s">
        <v>119</v>
      </c>
      <c r="C70" s="1" t="s">
        <v>148</v>
      </c>
      <c r="D70" s="1" t="s">
        <v>28</v>
      </c>
      <c r="E70" s="1" t="s">
        <v>106</v>
      </c>
      <c r="F70" s="1" t="s">
        <v>107</v>
      </c>
      <c r="G70" s="1" t="s">
        <v>31</v>
      </c>
      <c r="H70" s="1" t="s">
        <v>149</v>
      </c>
      <c r="I70" s="1" t="s">
        <v>34</v>
      </c>
      <c r="J70" s="1" t="s">
        <v>108</v>
      </c>
      <c r="K70" s="1" t="s">
        <v>114</v>
      </c>
      <c r="L70" s="1" t="s">
        <v>46</v>
      </c>
      <c r="M70" s="1" t="s">
        <v>36</v>
      </c>
    </row>
    <row r="71" spans="1:13" x14ac:dyDescent="0.3">
      <c r="A71" s="1" t="s">
        <v>256</v>
      </c>
      <c r="B71" s="1" t="s">
        <v>257</v>
      </c>
      <c r="C71" s="1" t="s">
        <v>132</v>
      </c>
      <c r="D71" s="1" t="s">
        <v>50</v>
      </c>
      <c r="E71" s="1" t="s">
        <v>29</v>
      </c>
      <c r="F71" s="1" t="s">
        <v>30</v>
      </c>
      <c r="G71" s="1" t="s">
        <v>31</v>
      </c>
      <c r="H71" s="1" t="s">
        <v>127</v>
      </c>
      <c r="I71" s="1" t="s">
        <v>33</v>
      </c>
      <c r="J71" s="1" t="s">
        <v>34</v>
      </c>
      <c r="K71" s="1" t="s">
        <v>35</v>
      </c>
      <c r="L71" s="1" t="s">
        <v>23</v>
      </c>
      <c r="M71" s="1" t="s">
        <v>36</v>
      </c>
    </row>
    <row r="72" spans="1:13" x14ac:dyDescent="0.3">
      <c r="A72" s="1" t="s">
        <v>258</v>
      </c>
      <c r="B72" s="1" t="s">
        <v>226</v>
      </c>
      <c r="C72" s="1" t="s">
        <v>243</v>
      </c>
      <c r="D72" s="1" t="s">
        <v>28</v>
      </c>
      <c r="E72" s="1" t="s">
        <v>40</v>
      </c>
      <c r="F72" s="1" t="s">
        <v>41</v>
      </c>
      <c r="G72" s="1" t="s">
        <v>42</v>
      </c>
      <c r="H72" s="1" t="s">
        <v>85</v>
      </c>
      <c r="I72" s="1" t="s">
        <v>44</v>
      </c>
      <c r="J72" s="1" t="s">
        <v>45</v>
      </c>
      <c r="K72" s="1" t="s">
        <v>20</v>
      </c>
      <c r="L72" s="1" t="s">
        <v>46</v>
      </c>
      <c r="M72" s="1" t="s">
        <v>36</v>
      </c>
    </row>
    <row r="73" spans="1:13" x14ac:dyDescent="0.3">
      <c r="A73" s="1" t="s">
        <v>259</v>
      </c>
      <c r="B73" s="1" t="s">
        <v>122</v>
      </c>
      <c r="C73" s="1" t="s">
        <v>260</v>
      </c>
      <c r="D73" s="1" t="s">
        <v>16</v>
      </c>
      <c r="E73" s="1" t="s">
        <v>106</v>
      </c>
      <c r="F73" s="1" t="s">
        <v>107</v>
      </c>
      <c r="G73" s="1" t="s">
        <v>31</v>
      </c>
      <c r="H73" s="1" t="s">
        <v>85</v>
      </c>
      <c r="I73" s="1" t="s">
        <v>34</v>
      </c>
      <c r="J73" s="1" t="s">
        <v>108</v>
      </c>
      <c r="K73" s="1" t="s">
        <v>35</v>
      </c>
      <c r="L73" s="1" t="s">
        <v>46</v>
      </c>
      <c r="M73" s="1" t="s">
        <v>36</v>
      </c>
    </row>
    <row r="74" spans="1:13" x14ac:dyDescent="0.3">
      <c r="A74" s="1" t="s">
        <v>261</v>
      </c>
      <c r="B74" s="1" t="s">
        <v>262</v>
      </c>
      <c r="C74" s="1" t="s">
        <v>263</v>
      </c>
      <c r="D74" s="1" t="s">
        <v>124</v>
      </c>
      <c r="E74" s="1" t="s">
        <v>64</v>
      </c>
      <c r="F74" s="1" t="s">
        <v>65</v>
      </c>
      <c r="G74" s="1" t="s">
        <v>42</v>
      </c>
      <c r="H74" s="1" t="s">
        <v>32</v>
      </c>
      <c r="I74" s="1" t="s">
        <v>67</v>
      </c>
      <c r="J74" s="1" t="s">
        <v>68</v>
      </c>
      <c r="K74" s="1" t="s">
        <v>60</v>
      </c>
      <c r="L74" s="1" t="s">
        <v>46</v>
      </c>
      <c r="M74" s="1" t="s">
        <v>36</v>
      </c>
    </row>
    <row r="75" spans="1:13" x14ac:dyDescent="0.3">
      <c r="A75" s="1" t="s">
        <v>264</v>
      </c>
      <c r="B75" s="1" t="s">
        <v>265</v>
      </c>
      <c r="C75" s="1" t="s">
        <v>243</v>
      </c>
      <c r="D75" s="1" t="s">
        <v>124</v>
      </c>
      <c r="E75" s="1" t="s">
        <v>29</v>
      </c>
      <c r="F75" s="1" t="s">
        <v>30</v>
      </c>
      <c r="G75" s="1" t="s">
        <v>31</v>
      </c>
      <c r="H75" s="1" t="s">
        <v>32</v>
      </c>
      <c r="I75" s="1" t="s">
        <v>33</v>
      </c>
      <c r="J75" s="1" t="s">
        <v>34</v>
      </c>
      <c r="K75" s="1" t="s">
        <v>114</v>
      </c>
      <c r="L75" s="1" t="s">
        <v>23</v>
      </c>
      <c r="M75" s="1" t="s">
        <v>36</v>
      </c>
    </row>
    <row r="76" spans="1:13" x14ac:dyDescent="0.3">
      <c r="A76" s="1" t="s">
        <v>266</v>
      </c>
      <c r="B76" s="1" t="s">
        <v>267</v>
      </c>
      <c r="C76" s="1" t="s">
        <v>120</v>
      </c>
      <c r="D76" s="1" t="s">
        <v>50</v>
      </c>
      <c r="E76" s="1" t="s">
        <v>89</v>
      </c>
      <c r="F76" s="1" t="s">
        <v>90</v>
      </c>
      <c r="G76" s="1" t="s">
        <v>74</v>
      </c>
      <c r="H76" s="1" t="s">
        <v>32</v>
      </c>
      <c r="I76" s="1" t="s">
        <v>92</v>
      </c>
      <c r="J76" s="1" t="s">
        <v>93</v>
      </c>
      <c r="K76" s="1" t="s">
        <v>35</v>
      </c>
      <c r="L76" s="1" t="s">
        <v>23</v>
      </c>
      <c r="M76" s="1" t="s">
        <v>36</v>
      </c>
    </row>
    <row r="77" spans="1:13" x14ac:dyDescent="0.3">
      <c r="A77" s="1" t="s">
        <v>268</v>
      </c>
      <c r="B77" s="1" t="s">
        <v>269</v>
      </c>
      <c r="C77" s="1" t="s">
        <v>202</v>
      </c>
      <c r="D77" s="1" t="s">
        <v>28</v>
      </c>
      <c r="E77" s="1" t="s">
        <v>29</v>
      </c>
      <c r="F77" s="1" t="s">
        <v>30</v>
      </c>
      <c r="G77" s="1" t="s">
        <v>31</v>
      </c>
      <c r="H77" s="1" t="s">
        <v>43</v>
      </c>
      <c r="I77" s="1" t="s">
        <v>33</v>
      </c>
      <c r="J77" s="1" t="s">
        <v>34</v>
      </c>
      <c r="K77" s="1" t="s">
        <v>35</v>
      </c>
      <c r="L77" s="1" t="s">
        <v>46</v>
      </c>
      <c r="M77" s="1" t="s">
        <v>36</v>
      </c>
    </row>
    <row r="78" spans="1:13" x14ac:dyDescent="0.3">
      <c r="A78" s="1" t="s">
        <v>270</v>
      </c>
      <c r="B78" s="1" t="s">
        <v>240</v>
      </c>
      <c r="C78" s="1" t="s">
        <v>271</v>
      </c>
      <c r="D78" s="1" t="s">
        <v>59</v>
      </c>
      <c r="E78" s="1" t="s">
        <v>51</v>
      </c>
      <c r="F78" s="1" t="s">
        <v>52</v>
      </c>
      <c r="G78" s="1" t="s">
        <v>42</v>
      </c>
      <c r="H78" s="1" t="s">
        <v>53</v>
      </c>
      <c r="I78" s="1" t="s">
        <v>54</v>
      </c>
      <c r="J78" s="1" t="s">
        <v>55</v>
      </c>
      <c r="K78" s="1" t="s">
        <v>60</v>
      </c>
      <c r="L78" s="1" t="s">
        <v>23</v>
      </c>
      <c r="M78" s="1" t="s">
        <v>36</v>
      </c>
    </row>
    <row r="79" spans="1:13" x14ac:dyDescent="0.3">
      <c r="A79" s="1" t="s">
        <v>272</v>
      </c>
      <c r="B79" s="1" t="s">
        <v>190</v>
      </c>
      <c r="C79" s="1" t="s">
        <v>273</v>
      </c>
      <c r="D79" s="1" t="s">
        <v>124</v>
      </c>
      <c r="E79" s="1" t="s">
        <v>106</v>
      </c>
      <c r="F79" s="1" t="s">
        <v>107</v>
      </c>
      <c r="G79" s="1" t="s">
        <v>31</v>
      </c>
      <c r="H79" s="1" t="s">
        <v>66</v>
      </c>
      <c r="I79" s="1" t="s">
        <v>34</v>
      </c>
      <c r="J79" s="1" t="s">
        <v>108</v>
      </c>
      <c r="K79" s="1" t="s">
        <v>114</v>
      </c>
      <c r="L79" s="1" t="s">
        <v>46</v>
      </c>
      <c r="M79" s="1" t="s">
        <v>36</v>
      </c>
    </row>
    <row r="80" spans="1:13" x14ac:dyDescent="0.3">
      <c r="A80" s="1" t="s">
        <v>274</v>
      </c>
      <c r="B80" s="1" t="s">
        <v>104</v>
      </c>
      <c r="C80" s="1" t="s">
        <v>96</v>
      </c>
      <c r="D80" s="1" t="s">
        <v>28</v>
      </c>
      <c r="E80" s="1" t="s">
        <v>72</v>
      </c>
      <c r="F80" s="1" t="s">
        <v>73</v>
      </c>
      <c r="G80" s="1" t="s">
        <v>74</v>
      </c>
      <c r="H80" s="1" t="s">
        <v>91</v>
      </c>
      <c r="I80" s="1" t="s">
        <v>75</v>
      </c>
      <c r="J80" s="1" t="s">
        <v>76</v>
      </c>
      <c r="K80" s="1" t="s">
        <v>114</v>
      </c>
      <c r="L80" s="1" t="s">
        <v>23</v>
      </c>
      <c r="M80" s="1" t="s">
        <v>36</v>
      </c>
    </row>
    <row r="81" spans="1:13" x14ac:dyDescent="0.3">
      <c r="A81" s="1" t="s">
        <v>275</v>
      </c>
      <c r="B81" s="1" t="s">
        <v>276</v>
      </c>
      <c r="C81" s="1" t="s">
        <v>140</v>
      </c>
      <c r="D81" s="1" t="s">
        <v>59</v>
      </c>
      <c r="E81" s="1" t="s">
        <v>89</v>
      </c>
      <c r="F81" s="1" t="s">
        <v>90</v>
      </c>
      <c r="G81" s="1" t="s">
        <v>74</v>
      </c>
      <c r="H81" s="1" t="s">
        <v>91</v>
      </c>
      <c r="I81" s="1" t="s">
        <v>92</v>
      </c>
      <c r="J81" s="1" t="s">
        <v>93</v>
      </c>
      <c r="K81" s="1" t="s">
        <v>114</v>
      </c>
      <c r="L81" s="1" t="s">
        <v>46</v>
      </c>
      <c r="M81" s="1" t="s">
        <v>36</v>
      </c>
    </row>
    <row r="82" spans="1:13" x14ac:dyDescent="0.3">
      <c r="A82" s="1" t="s">
        <v>277</v>
      </c>
      <c r="B82" s="1" t="s">
        <v>278</v>
      </c>
      <c r="C82" s="1" t="s">
        <v>279</v>
      </c>
      <c r="D82" s="1" t="s">
        <v>50</v>
      </c>
      <c r="E82" s="1" t="s">
        <v>106</v>
      </c>
      <c r="F82" s="1" t="s">
        <v>107</v>
      </c>
      <c r="G82" s="1" t="s">
        <v>31</v>
      </c>
      <c r="H82" s="1" t="s">
        <v>32</v>
      </c>
      <c r="I82" s="1" t="s">
        <v>34</v>
      </c>
      <c r="J82" s="1" t="s">
        <v>108</v>
      </c>
      <c r="K82" s="1" t="s">
        <v>35</v>
      </c>
      <c r="L82" s="1" t="s">
        <v>46</v>
      </c>
      <c r="M82" s="1" t="s">
        <v>36</v>
      </c>
    </row>
    <row r="83" spans="1:13" x14ac:dyDescent="0.3">
      <c r="A83" s="1" t="s">
        <v>280</v>
      </c>
      <c r="B83" s="1" t="s">
        <v>281</v>
      </c>
      <c r="C83" s="1" t="s">
        <v>159</v>
      </c>
      <c r="D83" s="1" t="s">
        <v>59</v>
      </c>
      <c r="E83" s="1" t="s">
        <v>106</v>
      </c>
      <c r="F83" s="1" t="s">
        <v>107</v>
      </c>
      <c r="G83" s="1" t="s">
        <v>31</v>
      </c>
      <c r="H83" s="1" t="s">
        <v>32</v>
      </c>
      <c r="I83" s="1" t="s">
        <v>34</v>
      </c>
      <c r="J83" s="1" t="s">
        <v>108</v>
      </c>
      <c r="K83" s="1" t="s">
        <v>114</v>
      </c>
      <c r="L83" s="1" t="s">
        <v>46</v>
      </c>
      <c r="M83" s="1" t="s">
        <v>36</v>
      </c>
    </row>
    <row r="84" spans="1:13" x14ac:dyDescent="0.3">
      <c r="A84" s="1" t="s">
        <v>282</v>
      </c>
      <c r="B84" s="1" t="s">
        <v>283</v>
      </c>
      <c r="C84" s="1" t="s">
        <v>284</v>
      </c>
      <c r="D84" s="1" t="s">
        <v>50</v>
      </c>
      <c r="E84" s="1" t="s">
        <v>64</v>
      </c>
      <c r="F84" s="1" t="s">
        <v>65</v>
      </c>
      <c r="G84" s="1" t="s">
        <v>188</v>
      </c>
      <c r="H84" s="1" t="s">
        <v>53</v>
      </c>
      <c r="I84" s="1" t="s">
        <v>67</v>
      </c>
      <c r="J84" s="1" t="s">
        <v>68</v>
      </c>
      <c r="K84" s="1" t="s">
        <v>60</v>
      </c>
      <c r="L84" s="1" t="s">
        <v>23</v>
      </c>
      <c r="M84" s="1" t="s">
        <v>36</v>
      </c>
    </row>
    <row r="85" spans="1:13" x14ac:dyDescent="0.3">
      <c r="A85" s="1" t="s">
        <v>285</v>
      </c>
      <c r="B85" s="1" t="s">
        <v>286</v>
      </c>
      <c r="C85" s="1" t="s">
        <v>273</v>
      </c>
      <c r="D85" s="1" t="s">
        <v>50</v>
      </c>
      <c r="E85" s="1" t="s">
        <v>89</v>
      </c>
      <c r="F85" s="1" t="s">
        <v>90</v>
      </c>
      <c r="G85" s="1" t="s">
        <v>74</v>
      </c>
      <c r="H85" s="1" t="s">
        <v>85</v>
      </c>
      <c r="I85" s="1" t="s">
        <v>92</v>
      </c>
      <c r="J85" s="1" t="s">
        <v>93</v>
      </c>
      <c r="K85" s="1" t="s">
        <v>35</v>
      </c>
      <c r="L85" s="1" t="s">
        <v>23</v>
      </c>
      <c r="M85" s="1" t="s">
        <v>36</v>
      </c>
    </row>
    <row r="86" spans="1:13" x14ac:dyDescent="0.3">
      <c r="A86" s="1" t="s">
        <v>287</v>
      </c>
      <c r="B86" s="1" t="s">
        <v>288</v>
      </c>
      <c r="C86" s="1" t="s">
        <v>289</v>
      </c>
      <c r="D86" s="1" t="s">
        <v>124</v>
      </c>
      <c r="E86" s="1" t="s">
        <v>51</v>
      </c>
      <c r="F86" s="1" t="s">
        <v>52</v>
      </c>
      <c r="G86" s="1" t="s">
        <v>42</v>
      </c>
      <c r="H86" s="1" t="s">
        <v>53</v>
      </c>
      <c r="I86" s="1" t="s">
        <v>54</v>
      </c>
      <c r="J86" s="1" t="s">
        <v>55</v>
      </c>
      <c r="K86" s="1" t="s">
        <v>35</v>
      </c>
      <c r="L86" s="1" t="s">
        <v>23</v>
      </c>
      <c r="M86" s="1" t="s">
        <v>36</v>
      </c>
    </row>
    <row r="87" spans="1:13" x14ac:dyDescent="0.3">
      <c r="A87" s="1" t="s">
        <v>290</v>
      </c>
      <c r="B87" s="1" t="s">
        <v>181</v>
      </c>
      <c r="C87" s="1" t="s">
        <v>63</v>
      </c>
      <c r="D87" s="1" t="s">
        <v>50</v>
      </c>
      <c r="E87" s="1" t="s">
        <v>29</v>
      </c>
      <c r="F87" s="1" t="s">
        <v>30</v>
      </c>
      <c r="G87" s="1" t="s">
        <v>31</v>
      </c>
      <c r="H87" s="1" t="s">
        <v>53</v>
      </c>
      <c r="I87" s="1" t="s">
        <v>33</v>
      </c>
      <c r="J87" s="1" t="s">
        <v>34</v>
      </c>
      <c r="K87" s="1" t="s">
        <v>20</v>
      </c>
      <c r="L87" s="1" t="s">
        <v>23</v>
      </c>
      <c r="M87" s="1" t="s">
        <v>36</v>
      </c>
    </row>
    <row r="88" spans="1:13" x14ac:dyDescent="0.3">
      <c r="A88" s="1" t="s">
        <v>291</v>
      </c>
      <c r="B88" s="1" t="s">
        <v>292</v>
      </c>
      <c r="C88" s="1" t="s">
        <v>293</v>
      </c>
      <c r="D88" s="1" t="s">
        <v>50</v>
      </c>
      <c r="E88" s="1" t="s">
        <v>40</v>
      </c>
      <c r="F88" s="1" t="s">
        <v>41</v>
      </c>
      <c r="G88" s="1" t="s">
        <v>42</v>
      </c>
      <c r="H88" s="1" t="s">
        <v>85</v>
      </c>
      <c r="I88" s="1" t="s">
        <v>44</v>
      </c>
      <c r="J88" s="1" t="s">
        <v>45</v>
      </c>
      <c r="K88" s="1" t="s">
        <v>35</v>
      </c>
      <c r="L88" s="1" t="s">
        <v>23</v>
      </c>
      <c r="M88" s="1" t="s">
        <v>36</v>
      </c>
    </row>
    <row r="89" spans="1:13" x14ac:dyDescent="0.3">
      <c r="A89" s="1" t="s">
        <v>294</v>
      </c>
      <c r="B89" s="1" t="s">
        <v>95</v>
      </c>
      <c r="C89" s="1" t="s">
        <v>295</v>
      </c>
      <c r="D89" s="1" t="s">
        <v>156</v>
      </c>
      <c r="E89" s="1" t="s">
        <v>17</v>
      </c>
      <c r="F89" s="1" t="s">
        <v>18</v>
      </c>
      <c r="G89" s="1" t="s">
        <v>74</v>
      </c>
      <c r="H89" s="1" t="s">
        <v>127</v>
      </c>
      <c r="I89" s="1" t="s">
        <v>80</v>
      </c>
      <c r="J89" s="1" t="s">
        <v>81</v>
      </c>
      <c r="K89" s="1" t="s">
        <v>60</v>
      </c>
      <c r="L89" s="1" t="s">
        <v>23</v>
      </c>
      <c r="M89" s="1" t="s">
        <v>36</v>
      </c>
    </row>
    <row r="90" spans="1:13" x14ac:dyDescent="0.3">
      <c r="A90" s="1" t="s">
        <v>296</v>
      </c>
      <c r="B90" s="1" t="s">
        <v>297</v>
      </c>
      <c r="C90" s="1" t="s">
        <v>99</v>
      </c>
      <c r="D90" s="1" t="s">
        <v>124</v>
      </c>
      <c r="E90" s="1" t="s">
        <v>89</v>
      </c>
      <c r="F90" s="1" t="s">
        <v>90</v>
      </c>
      <c r="G90" s="1" t="s">
        <v>74</v>
      </c>
      <c r="H90" s="1" t="s">
        <v>32</v>
      </c>
      <c r="I90" s="1" t="s">
        <v>92</v>
      </c>
      <c r="J90" s="1" t="s">
        <v>93</v>
      </c>
      <c r="K90" s="1" t="s">
        <v>35</v>
      </c>
      <c r="L90" s="1" t="s">
        <v>46</v>
      </c>
      <c r="M90" s="1" t="s">
        <v>36</v>
      </c>
    </row>
    <row r="91" spans="1:13" x14ac:dyDescent="0.3">
      <c r="A91" s="1" t="s">
        <v>298</v>
      </c>
      <c r="B91" s="1" t="s">
        <v>95</v>
      </c>
      <c r="C91" s="1" t="s">
        <v>194</v>
      </c>
      <c r="D91" s="1" t="s">
        <v>50</v>
      </c>
      <c r="E91" s="1" t="s">
        <v>106</v>
      </c>
      <c r="F91" s="1" t="s">
        <v>107</v>
      </c>
      <c r="G91" s="1" t="s">
        <v>31</v>
      </c>
      <c r="H91" s="1" t="s">
        <v>85</v>
      </c>
      <c r="I91" s="1" t="s">
        <v>34</v>
      </c>
      <c r="J91" s="1" t="s">
        <v>16</v>
      </c>
      <c r="K91" s="1" t="s">
        <v>35</v>
      </c>
      <c r="L91" s="1" t="s">
        <v>23</v>
      </c>
      <c r="M91" s="1" t="s">
        <v>36</v>
      </c>
    </row>
    <row r="92" spans="1:13" x14ac:dyDescent="0.3">
      <c r="A92" s="1" t="s">
        <v>299</v>
      </c>
      <c r="B92" s="1" t="s">
        <v>300</v>
      </c>
      <c r="C92" s="1" t="s">
        <v>166</v>
      </c>
      <c r="D92" s="1" t="s">
        <v>124</v>
      </c>
      <c r="E92" s="1" t="s">
        <v>106</v>
      </c>
      <c r="F92" s="1" t="s">
        <v>107</v>
      </c>
      <c r="G92" s="1" t="s">
        <v>31</v>
      </c>
      <c r="H92" s="1" t="s">
        <v>127</v>
      </c>
      <c r="I92" s="1" t="s">
        <v>34</v>
      </c>
      <c r="J92" s="1" t="s">
        <v>108</v>
      </c>
      <c r="K92" s="1" t="s">
        <v>114</v>
      </c>
      <c r="L92" s="1" t="s">
        <v>23</v>
      </c>
      <c r="M92" s="1" t="s">
        <v>36</v>
      </c>
    </row>
    <row r="93" spans="1:13" x14ac:dyDescent="0.3">
      <c r="A93" s="1" t="s">
        <v>301</v>
      </c>
      <c r="B93" s="1" t="s">
        <v>281</v>
      </c>
      <c r="C93" s="1" t="s">
        <v>302</v>
      </c>
      <c r="D93" s="1" t="s">
        <v>50</v>
      </c>
      <c r="E93" s="1" t="s">
        <v>17</v>
      </c>
      <c r="F93" s="1" t="s">
        <v>18</v>
      </c>
      <c r="G93" s="1" t="s">
        <v>74</v>
      </c>
      <c r="H93" s="1" t="s">
        <v>149</v>
      </c>
      <c r="I93" s="1" t="s">
        <v>80</v>
      </c>
      <c r="J93" s="1" t="s">
        <v>81</v>
      </c>
      <c r="K93" s="1" t="s">
        <v>60</v>
      </c>
      <c r="L93" s="1" t="s">
        <v>46</v>
      </c>
      <c r="M93" s="1" t="s">
        <v>36</v>
      </c>
    </row>
    <row r="94" spans="1:13" x14ac:dyDescent="0.3">
      <c r="A94" s="1" t="s">
        <v>303</v>
      </c>
      <c r="B94" s="1" t="s">
        <v>304</v>
      </c>
      <c r="C94" s="1" t="s">
        <v>305</v>
      </c>
      <c r="D94" s="1" t="s">
        <v>28</v>
      </c>
      <c r="E94" s="1" t="s">
        <v>106</v>
      </c>
      <c r="F94" s="1" t="s">
        <v>107</v>
      </c>
      <c r="G94" s="1" t="s">
        <v>31</v>
      </c>
      <c r="H94" s="1" t="s">
        <v>53</v>
      </c>
      <c r="I94" s="1" t="s">
        <v>34</v>
      </c>
      <c r="J94" s="1" t="s">
        <v>108</v>
      </c>
      <c r="K94" s="1" t="s">
        <v>20</v>
      </c>
      <c r="L94" s="1" t="s">
        <v>46</v>
      </c>
      <c r="M94" s="1" t="s">
        <v>36</v>
      </c>
    </row>
    <row r="95" spans="1:13" x14ac:dyDescent="0.3">
      <c r="A95" s="1" t="s">
        <v>306</v>
      </c>
      <c r="B95" s="1" t="s">
        <v>307</v>
      </c>
      <c r="C95" s="1" t="s">
        <v>308</v>
      </c>
      <c r="D95" s="1" t="s">
        <v>124</v>
      </c>
      <c r="E95" s="1" t="s">
        <v>64</v>
      </c>
      <c r="F95" s="1" t="s">
        <v>65</v>
      </c>
      <c r="G95" s="1" t="s">
        <v>42</v>
      </c>
      <c r="H95" s="1" t="s">
        <v>43</v>
      </c>
      <c r="I95" s="1" t="s">
        <v>67</v>
      </c>
      <c r="J95" s="1" t="s">
        <v>68</v>
      </c>
      <c r="K95" s="1" t="s">
        <v>60</v>
      </c>
      <c r="L95" s="1" t="s">
        <v>23</v>
      </c>
      <c r="M95" s="1" t="s">
        <v>36</v>
      </c>
    </row>
    <row r="96" spans="1:13" x14ac:dyDescent="0.3">
      <c r="A96" s="1" t="s">
        <v>309</v>
      </c>
      <c r="B96" s="1" t="s">
        <v>310</v>
      </c>
      <c r="C96" s="1" t="s">
        <v>263</v>
      </c>
      <c r="D96" s="1" t="s">
        <v>124</v>
      </c>
      <c r="E96" s="1" t="s">
        <v>51</v>
      </c>
      <c r="F96" s="1" t="s">
        <v>52</v>
      </c>
      <c r="G96" s="1" t="s">
        <v>42</v>
      </c>
      <c r="H96" s="1" t="s">
        <v>66</v>
      </c>
      <c r="I96" s="1" t="s">
        <v>54</v>
      </c>
      <c r="J96" s="1" t="s">
        <v>55</v>
      </c>
      <c r="K96" s="1" t="s">
        <v>311</v>
      </c>
      <c r="L96" s="1" t="s">
        <v>46</v>
      </c>
      <c r="M96" s="1" t="s">
        <v>36</v>
      </c>
    </row>
    <row r="97" spans="1:13" x14ac:dyDescent="0.3">
      <c r="A97" s="1" t="s">
        <v>312</v>
      </c>
      <c r="B97" s="1" t="s">
        <v>313</v>
      </c>
      <c r="C97" s="1" t="s">
        <v>182</v>
      </c>
      <c r="D97" s="1" t="s">
        <v>50</v>
      </c>
      <c r="E97" s="1" t="s">
        <v>17</v>
      </c>
      <c r="F97" s="1" t="s">
        <v>18</v>
      </c>
      <c r="G97" s="1" t="s">
        <v>74</v>
      </c>
      <c r="H97" s="1" t="s">
        <v>43</v>
      </c>
      <c r="I97" s="1" t="s">
        <v>80</v>
      </c>
      <c r="J97" s="1" t="s">
        <v>81</v>
      </c>
      <c r="K97" s="1" t="s">
        <v>60</v>
      </c>
      <c r="L97" s="1" t="s">
        <v>23</v>
      </c>
      <c r="M97" s="1" t="s">
        <v>36</v>
      </c>
    </row>
    <row r="98" spans="1:13" x14ac:dyDescent="0.3">
      <c r="A98" s="1" t="s">
        <v>314</v>
      </c>
      <c r="B98" s="1" t="s">
        <v>98</v>
      </c>
      <c r="C98" s="1" t="s">
        <v>315</v>
      </c>
      <c r="D98" s="1" t="s">
        <v>59</v>
      </c>
      <c r="E98" s="1" t="s">
        <v>29</v>
      </c>
      <c r="F98" s="1" t="s">
        <v>30</v>
      </c>
      <c r="G98" s="1" t="s">
        <v>31</v>
      </c>
      <c r="H98" s="1" t="s">
        <v>127</v>
      </c>
      <c r="I98" s="1" t="s">
        <v>33</v>
      </c>
      <c r="J98" s="1" t="s">
        <v>34</v>
      </c>
      <c r="K98" s="1" t="s">
        <v>60</v>
      </c>
      <c r="L98" s="1" t="s">
        <v>23</v>
      </c>
      <c r="M98" s="1" t="s">
        <v>36</v>
      </c>
    </row>
    <row r="99" spans="1:13" x14ac:dyDescent="0.3">
      <c r="A99" s="1" t="s">
        <v>316</v>
      </c>
      <c r="B99" s="1" t="s">
        <v>317</v>
      </c>
      <c r="C99" s="1" t="s">
        <v>318</v>
      </c>
      <c r="D99" s="1" t="s">
        <v>50</v>
      </c>
      <c r="E99" s="1" t="s">
        <v>51</v>
      </c>
      <c r="F99" s="1" t="s">
        <v>52</v>
      </c>
      <c r="G99" s="1" t="s">
        <v>42</v>
      </c>
      <c r="H99" s="1" t="s">
        <v>20</v>
      </c>
      <c r="I99" s="1" t="s">
        <v>54</v>
      </c>
      <c r="J99" s="1" t="s">
        <v>55</v>
      </c>
      <c r="K99" s="1" t="s">
        <v>114</v>
      </c>
      <c r="L99" s="1" t="s">
        <v>46</v>
      </c>
      <c r="M99" s="1" t="s">
        <v>36</v>
      </c>
    </row>
    <row r="100" spans="1:13" x14ac:dyDescent="0.3">
      <c r="A100" s="1" t="s">
        <v>319</v>
      </c>
      <c r="B100" s="1" t="s">
        <v>204</v>
      </c>
      <c r="C100" s="1" t="s">
        <v>320</v>
      </c>
      <c r="D100" s="1" t="s">
        <v>124</v>
      </c>
      <c r="E100" s="1" t="s">
        <v>64</v>
      </c>
      <c r="F100" s="1" t="s">
        <v>65</v>
      </c>
      <c r="G100" s="1" t="s">
        <v>42</v>
      </c>
      <c r="H100" s="1" t="s">
        <v>32</v>
      </c>
      <c r="I100" s="1" t="s">
        <v>67</v>
      </c>
      <c r="J100" s="1" t="s">
        <v>68</v>
      </c>
      <c r="K100" s="1" t="s">
        <v>20</v>
      </c>
      <c r="L100" s="1" t="s">
        <v>23</v>
      </c>
      <c r="M100" s="1" t="s">
        <v>36</v>
      </c>
    </row>
    <row r="101" spans="1:13" x14ac:dyDescent="0.3">
      <c r="A101" s="1" t="s">
        <v>321</v>
      </c>
      <c r="B101" s="1" t="s">
        <v>161</v>
      </c>
      <c r="C101" s="1" t="s">
        <v>322</v>
      </c>
      <c r="D101" s="1" t="s">
        <v>28</v>
      </c>
      <c r="E101" s="1" t="s">
        <v>40</v>
      </c>
      <c r="F101" s="1" t="s">
        <v>41</v>
      </c>
      <c r="G101" s="1" t="s">
        <v>42</v>
      </c>
      <c r="H101" s="1" t="s">
        <v>149</v>
      </c>
      <c r="I101" s="1" t="s">
        <v>44</v>
      </c>
      <c r="J101" s="1" t="s">
        <v>45</v>
      </c>
      <c r="K101" s="1" t="s">
        <v>60</v>
      </c>
      <c r="L101" s="1" t="s">
        <v>23</v>
      </c>
      <c r="M101" s="1" t="s">
        <v>36</v>
      </c>
    </row>
    <row r="102" spans="1:13" x14ac:dyDescent="0.3">
      <c r="A102" s="1" t="s">
        <v>323</v>
      </c>
      <c r="B102" s="1" t="s">
        <v>190</v>
      </c>
      <c r="C102" s="1" t="s">
        <v>248</v>
      </c>
      <c r="D102" s="1" t="s">
        <v>50</v>
      </c>
      <c r="E102" s="1" t="s">
        <v>72</v>
      </c>
      <c r="F102" s="1" t="s">
        <v>73</v>
      </c>
      <c r="G102" s="1" t="s">
        <v>74</v>
      </c>
      <c r="H102" s="1" t="s">
        <v>53</v>
      </c>
      <c r="I102" s="1" t="s">
        <v>75</v>
      </c>
      <c r="J102" s="1" t="s">
        <v>76</v>
      </c>
      <c r="K102" s="1" t="s">
        <v>35</v>
      </c>
      <c r="L102" s="1" t="s">
        <v>46</v>
      </c>
      <c r="M102" s="1" t="s">
        <v>36</v>
      </c>
    </row>
    <row r="103" spans="1:13" x14ac:dyDescent="0.3">
      <c r="A103" s="1" t="s">
        <v>324</v>
      </c>
      <c r="B103" s="1" t="s">
        <v>281</v>
      </c>
      <c r="C103" s="1" t="s">
        <v>325</v>
      </c>
      <c r="D103" s="1" t="s">
        <v>59</v>
      </c>
      <c r="E103" s="1" t="s">
        <v>64</v>
      </c>
      <c r="F103" s="1" t="s">
        <v>65</v>
      </c>
      <c r="G103" s="1" t="s">
        <v>42</v>
      </c>
      <c r="H103" s="1" t="s">
        <v>149</v>
      </c>
      <c r="I103" s="1" t="s">
        <v>67</v>
      </c>
      <c r="J103" s="1" t="s">
        <v>68</v>
      </c>
      <c r="K103" s="1" t="s">
        <v>114</v>
      </c>
      <c r="L103" s="1" t="s">
        <v>23</v>
      </c>
      <c r="M103" s="1" t="s">
        <v>36</v>
      </c>
    </row>
    <row r="104" spans="1:13" x14ac:dyDescent="0.3">
      <c r="A104" s="1" t="s">
        <v>326</v>
      </c>
      <c r="B104" s="1" t="s">
        <v>26</v>
      </c>
      <c r="C104" s="1" t="s">
        <v>327</v>
      </c>
      <c r="D104" s="1" t="s">
        <v>28</v>
      </c>
      <c r="E104" s="1" t="s">
        <v>89</v>
      </c>
      <c r="F104" s="1" t="s">
        <v>90</v>
      </c>
      <c r="G104" s="1" t="s">
        <v>74</v>
      </c>
      <c r="H104" s="1" t="s">
        <v>149</v>
      </c>
      <c r="I104" s="1" t="s">
        <v>92</v>
      </c>
      <c r="J104" s="1" t="s">
        <v>93</v>
      </c>
      <c r="K104" s="1" t="s">
        <v>35</v>
      </c>
      <c r="L104" s="1" t="s">
        <v>23</v>
      </c>
      <c r="M104" s="1" t="s">
        <v>36</v>
      </c>
    </row>
    <row r="105" spans="1:13" x14ac:dyDescent="0.3">
      <c r="A105" s="1" t="s">
        <v>328</v>
      </c>
      <c r="B105" s="1" t="s">
        <v>329</v>
      </c>
      <c r="C105" s="1" t="s">
        <v>162</v>
      </c>
      <c r="D105" s="1" t="s">
        <v>50</v>
      </c>
      <c r="E105" s="1" t="s">
        <v>17</v>
      </c>
      <c r="F105" s="1" t="s">
        <v>18</v>
      </c>
      <c r="G105" s="1" t="s">
        <v>74</v>
      </c>
      <c r="H105" s="1" t="s">
        <v>43</v>
      </c>
      <c r="I105" s="1" t="s">
        <v>80</v>
      </c>
      <c r="J105" s="1" t="s">
        <v>81</v>
      </c>
      <c r="K105" s="1" t="s">
        <v>60</v>
      </c>
      <c r="L105" s="1" t="s">
        <v>23</v>
      </c>
      <c r="M105" s="1" t="s">
        <v>36</v>
      </c>
    </row>
    <row r="106" spans="1:13" x14ac:dyDescent="0.3">
      <c r="A106" s="1" t="s">
        <v>330</v>
      </c>
      <c r="B106" s="1" t="s">
        <v>116</v>
      </c>
      <c r="C106" s="1" t="s">
        <v>331</v>
      </c>
      <c r="D106" s="1" t="s">
        <v>124</v>
      </c>
      <c r="E106" s="1" t="s">
        <v>106</v>
      </c>
      <c r="F106" s="1" t="s">
        <v>107</v>
      </c>
      <c r="G106" s="1" t="s">
        <v>31</v>
      </c>
      <c r="H106" s="1" t="s">
        <v>43</v>
      </c>
      <c r="I106" s="1" t="s">
        <v>34</v>
      </c>
      <c r="J106" s="1" t="s">
        <v>108</v>
      </c>
      <c r="K106" s="1" t="s">
        <v>20</v>
      </c>
      <c r="L106" s="1" t="s">
        <v>46</v>
      </c>
      <c r="M106" s="1" t="s">
        <v>36</v>
      </c>
    </row>
    <row r="107" spans="1:13" x14ac:dyDescent="0.3">
      <c r="A107" s="1" t="s">
        <v>332</v>
      </c>
      <c r="B107" s="1" t="s">
        <v>119</v>
      </c>
      <c r="C107" s="1" t="s">
        <v>333</v>
      </c>
      <c r="D107" s="1" t="s">
        <v>124</v>
      </c>
      <c r="E107" s="1" t="s">
        <v>89</v>
      </c>
      <c r="F107" s="1" t="s">
        <v>90</v>
      </c>
      <c r="G107" s="1" t="s">
        <v>74</v>
      </c>
      <c r="H107" s="1" t="s">
        <v>149</v>
      </c>
      <c r="I107" s="1" t="s">
        <v>92</v>
      </c>
      <c r="J107" s="1" t="s">
        <v>93</v>
      </c>
      <c r="K107" s="1" t="s">
        <v>114</v>
      </c>
      <c r="L107" s="1" t="s">
        <v>23</v>
      </c>
      <c r="M107" s="1" t="s">
        <v>36</v>
      </c>
    </row>
    <row r="108" spans="1:13" x14ac:dyDescent="0.3">
      <c r="A108" s="1" t="s">
        <v>334</v>
      </c>
      <c r="B108" s="1" t="s">
        <v>335</v>
      </c>
      <c r="C108" s="1" t="s">
        <v>175</v>
      </c>
      <c r="D108" s="1" t="s">
        <v>50</v>
      </c>
      <c r="E108" s="1" t="s">
        <v>17</v>
      </c>
      <c r="F108" s="1" t="s">
        <v>18</v>
      </c>
      <c r="G108" s="1" t="s">
        <v>74</v>
      </c>
      <c r="H108" s="1" t="s">
        <v>85</v>
      </c>
      <c r="I108" s="1" t="s">
        <v>21</v>
      </c>
      <c r="J108" s="1" t="s">
        <v>81</v>
      </c>
      <c r="K108" s="1" t="s">
        <v>114</v>
      </c>
      <c r="L108" s="1" t="s">
        <v>23</v>
      </c>
      <c r="M108" s="1" t="s">
        <v>36</v>
      </c>
    </row>
    <row r="109" spans="1:13" x14ac:dyDescent="0.3">
      <c r="A109" s="1" t="s">
        <v>336</v>
      </c>
      <c r="B109" s="1" t="s">
        <v>337</v>
      </c>
      <c r="C109" s="1" t="s">
        <v>331</v>
      </c>
      <c r="D109" s="1" t="s">
        <v>124</v>
      </c>
      <c r="E109" s="1" t="s">
        <v>64</v>
      </c>
      <c r="F109" s="1" t="s">
        <v>65</v>
      </c>
      <c r="G109" s="1" t="s">
        <v>42</v>
      </c>
      <c r="H109" s="1" t="s">
        <v>43</v>
      </c>
      <c r="I109" s="1" t="s">
        <v>67</v>
      </c>
      <c r="J109" s="1" t="s">
        <v>68</v>
      </c>
      <c r="K109" s="1" t="s">
        <v>60</v>
      </c>
      <c r="L109" s="1" t="s">
        <v>46</v>
      </c>
      <c r="M109" s="1" t="s">
        <v>36</v>
      </c>
    </row>
    <row r="110" spans="1:13" x14ac:dyDescent="0.3">
      <c r="A110" s="1" t="s">
        <v>338</v>
      </c>
      <c r="B110" s="1" t="s">
        <v>209</v>
      </c>
      <c r="C110" s="1" t="s">
        <v>273</v>
      </c>
      <c r="D110" s="1" t="s">
        <v>28</v>
      </c>
      <c r="E110" s="1" t="s">
        <v>89</v>
      </c>
      <c r="F110" s="1" t="s">
        <v>90</v>
      </c>
      <c r="G110" s="1" t="s">
        <v>74</v>
      </c>
      <c r="H110" s="1" t="s">
        <v>53</v>
      </c>
      <c r="I110" s="1" t="s">
        <v>92</v>
      </c>
      <c r="J110" s="1" t="s">
        <v>93</v>
      </c>
      <c r="K110" s="1" t="s">
        <v>114</v>
      </c>
      <c r="L110" s="1" t="s">
        <v>46</v>
      </c>
      <c r="M110" s="1" t="s">
        <v>36</v>
      </c>
    </row>
    <row r="111" spans="1:13" x14ac:dyDescent="0.3">
      <c r="A111" s="1" t="s">
        <v>339</v>
      </c>
      <c r="B111" s="1" t="s">
        <v>340</v>
      </c>
      <c r="C111" s="1" t="s">
        <v>185</v>
      </c>
      <c r="D111" s="1" t="s">
        <v>28</v>
      </c>
      <c r="E111" s="1" t="s">
        <v>64</v>
      </c>
      <c r="F111" s="1" t="s">
        <v>65</v>
      </c>
      <c r="G111" s="1" t="s">
        <v>42</v>
      </c>
      <c r="H111" s="1" t="s">
        <v>43</v>
      </c>
      <c r="I111" s="1" t="s">
        <v>67</v>
      </c>
      <c r="J111" s="1" t="s">
        <v>68</v>
      </c>
      <c r="K111" s="1" t="s">
        <v>20</v>
      </c>
      <c r="L111" s="1" t="s">
        <v>23</v>
      </c>
      <c r="M111" s="1" t="s">
        <v>36</v>
      </c>
    </row>
    <row r="112" spans="1:13" x14ac:dyDescent="0.3">
      <c r="A112" s="1" t="s">
        <v>341</v>
      </c>
      <c r="B112" s="1" t="s">
        <v>342</v>
      </c>
      <c r="C112" s="1" t="s">
        <v>235</v>
      </c>
      <c r="D112" s="1" t="s">
        <v>124</v>
      </c>
      <c r="E112" s="1" t="s">
        <v>89</v>
      </c>
      <c r="F112" s="1" t="s">
        <v>90</v>
      </c>
      <c r="G112" s="1" t="s">
        <v>74</v>
      </c>
      <c r="H112" s="1" t="s">
        <v>91</v>
      </c>
      <c r="I112" s="1" t="s">
        <v>92</v>
      </c>
      <c r="J112" s="1" t="s">
        <v>93</v>
      </c>
      <c r="K112" s="1" t="s">
        <v>35</v>
      </c>
      <c r="L112" s="1" t="s">
        <v>23</v>
      </c>
      <c r="M112" s="1" t="s">
        <v>36</v>
      </c>
    </row>
    <row r="113" spans="1:13" x14ac:dyDescent="0.3">
      <c r="A113" s="1" t="s">
        <v>343</v>
      </c>
      <c r="B113" s="1" t="s">
        <v>344</v>
      </c>
      <c r="C113" s="1" t="s">
        <v>345</v>
      </c>
      <c r="D113" s="1" t="s">
        <v>124</v>
      </c>
      <c r="E113" s="1" t="s">
        <v>40</v>
      </c>
      <c r="F113" s="1" t="s">
        <v>41</v>
      </c>
      <c r="G113" s="1" t="s">
        <v>42</v>
      </c>
      <c r="H113" s="1" t="s">
        <v>43</v>
      </c>
      <c r="I113" s="1" t="s">
        <v>44</v>
      </c>
      <c r="J113" s="1" t="s">
        <v>45</v>
      </c>
      <c r="K113" s="1" t="s">
        <v>20</v>
      </c>
      <c r="L113" s="1" t="s">
        <v>46</v>
      </c>
      <c r="M113" s="1" t="s">
        <v>36</v>
      </c>
    </row>
    <row r="114" spans="1:13" x14ac:dyDescent="0.3">
      <c r="A114" s="1" t="s">
        <v>346</v>
      </c>
      <c r="B114" s="1" t="s">
        <v>347</v>
      </c>
      <c r="C114" s="1" t="s">
        <v>148</v>
      </c>
      <c r="D114" s="1" t="s">
        <v>59</v>
      </c>
      <c r="E114" s="1" t="s">
        <v>64</v>
      </c>
      <c r="F114" s="1" t="s">
        <v>65</v>
      </c>
      <c r="G114" s="1" t="s">
        <v>42</v>
      </c>
      <c r="H114" s="1" t="s">
        <v>85</v>
      </c>
      <c r="I114" s="1" t="s">
        <v>67</v>
      </c>
      <c r="J114" s="1" t="s">
        <v>68</v>
      </c>
      <c r="K114" s="1" t="s">
        <v>20</v>
      </c>
      <c r="L114" s="1" t="s">
        <v>46</v>
      </c>
      <c r="M114" s="1" t="s">
        <v>36</v>
      </c>
    </row>
    <row r="115" spans="1:13" x14ac:dyDescent="0.3">
      <c r="A115" s="1" t="s">
        <v>348</v>
      </c>
      <c r="B115" s="1" t="s">
        <v>349</v>
      </c>
      <c r="C115" s="1" t="s">
        <v>155</v>
      </c>
      <c r="D115" s="1" t="s">
        <v>50</v>
      </c>
      <c r="E115" s="1" t="s">
        <v>29</v>
      </c>
      <c r="F115" s="1" t="s">
        <v>30</v>
      </c>
      <c r="G115" s="1" t="s">
        <v>31</v>
      </c>
      <c r="H115" s="1" t="s">
        <v>32</v>
      </c>
      <c r="I115" s="1" t="s">
        <v>33</v>
      </c>
      <c r="J115" s="1" t="s">
        <v>34</v>
      </c>
      <c r="K115" s="1" t="s">
        <v>35</v>
      </c>
      <c r="L115" s="1" t="s">
        <v>23</v>
      </c>
      <c r="M115" s="1" t="s">
        <v>36</v>
      </c>
    </row>
    <row r="116" spans="1:13" x14ac:dyDescent="0.3">
      <c r="A116" s="1" t="s">
        <v>350</v>
      </c>
      <c r="B116" s="1" t="s">
        <v>158</v>
      </c>
      <c r="C116" s="1" t="s">
        <v>322</v>
      </c>
      <c r="D116" s="1" t="s">
        <v>124</v>
      </c>
      <c r="E116" s="1" t="s">
        <v>51</v>
      </c>
      <c r="F116" s="1" t="s">
        <v>52</v>
      </c>
      <c r="G116" s="1" t="s">
        <v>42</v>
      </c>
      <c r="H116" s="1" t="s">
        <v>85</v>
      </c>
      <c r="I116" s="1" t="s">
        <v>54</v>
      </c>
      <c r="J116" s="1" t="s">
        <v>55</v>
      </c>
      <c r="K116" s="1" t="s">
        <v>20</v>
      </c>
      <c r="L116" s="1" t="s">
        <v>46</v>
      </c>
      <c r="M116" s="1" t="s">
        <v>36</v>
      </c>
    </row>
    <row r="117" spans="1:13" x14ac:dyDescent="0.3">
      <c r="A117" s="1" t="s">
        <v>351</v>
      </c>
      <c r="B117" s="1" t="s">
        <v>161</v>
      </c>
      <c r="C117" s="1" t="s">
        <v>248</v>
      </c>
      <c r="D117" s="1" t="s">
        <v>124</v>
      </c>
      <c r="E117" s="1" t="s">
        <v>51</v>
      </c>
      <c r="F117" s="1" t="s">
        <v>52</v>
      </c>
      <c r="G117" s="1" t="s">
        <v>42</v>
      </c>
      <c r="H117" s="1" t="s">
        <v>53</v>
      </c>
      <c r="I117" s="1" t="s">
        <v>54</v>
      </c>
      <c r="J117" s="1" t="s">
        <v>55</v>
      </c>
      <c r="K117" s="1" t="s">
        <v>114</v>
      </c>
      <c r="L117" s="1" t="s">
        <v>46</v>
      </c>
      <c r="M117" s="1" t="s">
        <v>36</v>
      </c>
    </row>
    <row r="118" spans="1:13" x14ac:dyDescent="0.3">
      <c r="A118" s="1" t="s">
        <v>352</v>
      </c>
      <c r="B118" s="1" t="s">
        <v>265</v>
      </c>
      <c r="C118" s="1" t="s">
        <v>88</v>
      </c>
      <c r="D118" s="1" t="s">
        <v>156</v>
      </c>
      <c r="E118" s="1" t="s">
        <v>17</v>
      </c>
      <c r="F118" s="1" t="s">
        <v>18</v>
      </c>
      <c r="G118" s="1" t="s">
        <v>74</v>
      </c>
      <c r="H118" s="1" t="s">
        <v>91</v>
      </c>
      <c r="I118" s="1" t="s">
        <v>80</v>
      </c>
      <c r="J118" s="1" t="s">
        <v>81</v>
      </c>
      <c r="K118" s="1" t="s">
        <v>35</v>
      </c>
      <c r="L118" s="1" t="s">
        <v>23</v>
      </c>
      <c r="M118" s="1" t="s">
        <v>36</v>
      </c>
    </row>
    <row r="119" spans="1:13" x14ac:dyDescent="0.3">
      <c r="A119" s="1" t="s">
        <v>353</v>
      </c>
      <c r="B119" s="1" t="s">
        <v>57</v>
      </c>
      <c r="C119" s="1" t="s">
        <v>58</v>
      </c>
      <c r="D119" s="1" t="s">
        <v>50</v>
      </c>
      <c r="E119" s="1" t="s">
        <v>106</v>
      </c>
      <c r="F119" s="1" t="s">
        <v>107</v>
      </c>
      <c r="G119" s="1" t="s">
        <v>31</v>
      </c>
      <c r="H119" s="1" t="s">
        <v>53</v>
      </c>
      <c r="I119" s="1" t="s">
        <v>34</v>
      </c>
      <c r="J119" s="1" t="s">
        <v>108</v>
      </c>
      <c r="K119" s="1" t="s">
        <v>20</v>
      </c>
      <c r="L119" s="1" t="s">
        <v>46</v>
      </c>
      <c r="M119" s="1" t="s">
        <v>172</v>
      </c>
    </row>
    <row r="120" spans="1:13" x14ac:dyDescent="0.3">
      <c r="A120" s="1" t="s">
        <v>354</v>
      </c>
      <c r="B120" s="1" t="s">
        <v>355</v>
      </c>
      <c r="C120" s="1" t="s">
        <v>356</v>
      </c>
      <c r="D120" s="1" t="s">
        <v>59</v>
      </c>
      <c r="E120" s="1" t="s">
        <v>106</v>
      </c>
      <c r="F120" s="1" t="s">
        <v>107</v>
      </c>
      <c r="G120" s="1" t="s">
        <v>31</v>
      </c>
      <c r="H120" s="1" t="s">
        <v>91</v>
      </c>
      <c r="I120" s="1" t="s">
        <v>34</v>
      </c>
      <c r="J120" s="1" t="s">
        <v>108</v>
      </c>
      <c r="K120" s="1" t="s">
        <v>35</v>
      </c>
      <c r="L120" s="1" t="s">
        <v>23</v>
      </c>
      <c r="M120" s="1" t="s">
        <v>172</v>
      </c>
    </row>
    <row r="121" spans="1:13" x14ac:dyDescent="0.3">
      <c r="A121" s="1" t="s">
        <v>357</v>
      </c>
      <c r="B121" s="1" t="s">
        <v>358</v>
      </c>
      <c r="C121" s="1" t="s">
        <v>345</v>
      </c>
      <c r="D121" s="1" t="s">
        <v>124</v>
      </c>
      <c r="E121" s="1" t="s">
        <v>72</v>
      </c>
      <c r="F121" s="1" t="s">
        <v>73</v>
      </c>
      <c r="G121" s="1" t="s">
        <v>74</v>
      </c>
      <c r="H121" s="1" t="s">
        <v>149</v>
      </c>
      <c r="I121" s="1" t="s">
        <v>75</v>
      </c>
      <c r="J121" s="1" t="s">
        <v>76</v>
      </c>
      <c r="K121" s="1" t="s">
        <v>35</v>
      </c>
      <c r="L121" s="1" t="s">
        <v>23</v>
      </c>
      <c r="M121" s="1" t="s">
        <v>36</v>
      </c>
    </row>
    <row r="122" spans="1:13" x14ac:dyDescent="0.3">
      <c r="A122" s="1" t="s">
        <v>359</v>
      </c>
      <c r="B122" s="1" t="s">
        <v>360</v>
      </c>
      <c r="C122" s="1" t="s">
        <v>117</v>
      </c>
      <c r="D122" s="1" t="s">
        <v>50</v>
      </c>
      <c r="E122" s="1" t="s">
        <v>72</v>
      </c>
      <c r="F122" s="1" t="s">
        <v>73</v>
      </c>
      <c r="G122" s="1" t="s">
        <v>74</v>
      </c>
      <c r="H122" s="1" t="s">
        <v>66</v>
      </c>
      <c r="I122" s="1" t="s">
        <v>75</v>
      </c>
      <c r="J122" s="1" t="s">
        <v>76</v>
      </c>
      <c r="K122" s="1" t="s">
        <v>60</v>
      </c>
      <c r="L122" s="1" t="s">
        <v>46</v>
      </c>
      <c r="M122" s="1" t="s">
        <v>36</v>
      </c>
    </row>
    <row r="123" spans="1:13" x14ac:dyDescent="0.3">
      <c r="A123" s="1" t="s">
        <v>361</v>
      </c>
      <c r="B123" s="1" t="s">
        <v>362</v>
      </c>
      <c r="C123" s="1" t="s">
        <v>123</v>
      </c>
      <c r="D123" s="1" t="s">
        <v>124</v>
      </c>
      <c r="E123" s="1" t="s">
        <v>89</v>
      </c>
      <c r="F123" s="1" t="s">
        <v>90</v>
      </c>
      <c r="G123" s="1" t="s">
        <v>74</v>
      </c>
      <c r="H123" s="1" t="s">
        <v>53</v>
      </c>
      <c r="I123" s="1" t="s">
        <v>92</v>
      </c>
      <c r="J123" s="1" t="s">
        <v>93</v>
      </c>
      <c r="K123" s="1" t="s">
        <v>114</v>
      </c>
      <c r="L123" s="1" t="s">
        <v>46</v>
      </c>
      <c r="M123" s="1" t="s">
        <v>36</v>
      </c>
    </row>
    <row r="124" spans="1:13" x14ac:dyDescent="0.3">
      <c r="A124" s="1" t="s">
        <v>363</v>
      </c>
      <c r="B124" s="1" t="s">
        <v>78</v>
      </c>
      <c r="C124" s="1" t="s">
        <v>364</v>
      </c>
      <c r="D124" s="1" t="s">
        <v>28</v>
      </c>
      <c r="E124" s="1" t="s">
        <v>64</v>
      </c>
      <c r="F124" s="1" t="s">
        <v>65</v>
      </c>
      <c r="G124" s="1" t="s">
        <v>42</v>
      </c>
      <c r="H124" s="1" t="s">
        <v>43</v>
      </c>
      <c r="I124" s="1" t="s">
        <v>67</v>
      </c>
      <c r="J124" s="1" t="s">
        <v>68</v>
      </c>
      <c r="K124" s="1" t="s">
        <v>35</v>
      </c>
      <c r="L124" s="1" t="s">
        <v>23</v>
      </c>
      <c r="M124" s="1" t="s">
        <v>36</v>
      </c>
    </row>
    <row r="125" spans="1:13" x14ac:dyDescent="0.3">
      <c r="A125" s="1" t="s">
        <v>365</v>
      </c>
      <c r="B125" s="1" t="s">
        <v>366</v>
      </c>
      <c r="C125" s="1" t="s">
        <v>367</v>
      </c>
      <c r="D125" s="1" t="s">
        <v>124</v>
      </c>
      <c r="E125" s="1" t="s">
        <v>106</v>
      </c>
      <c r="F125" s="1" t="s">
        <v>107</v>
      </c>
      <c r="G125" s="1" t="s">
        <v>368</v>
      </c>
      <c r="H125" s="1" t="s">
        <v>127</v>
      </c>
      <c r="I125" s="1" t="s">
        <v>34</v>
      </c>
      <c r="J125" s="1" t="s">
        <v>108</v>
      </c>
      <c r="K125" s="1" t="s">
        <v>20</v>
      </c>
      <c r="L125" s="1" t="s">
        <v>46</v>
      </c>
      <c r="M125" s="1" t="s">
        <v>36</v>
      </c>
    </row>
    <row r="126" spans="1:13" x14ac:dyDescent="0.3">
      <c r="A126" s="1" t="s">
        <v>369</v>
      </c>
      <c r="B126" s="1" t="s">
        <v>370</v>
      </c>
      <c r="C126" s="1" t="s">
        <v>371</v>
      </c>
      <c r="D126" s="1" t="s">
        <v>28</v>
      </c>
      <c r="E126" s="1" t="s">
        <v>72</v>
      </c>
      <c r="F126" s="1" t="s">
        <v>73</v>
      </c>
      <c r="G126" s="1" t="s">
        <v>74</v>
      </c>
      <c r="H126" s="1" t="s">
        <v>149</v>
      </c>
      <c r="I126" s="1" t="s">
        <v>75</v>
      </c>
      <c r="J126" s="1" t="s">
        <v>76</v>
      </c>
      <c r="K126" s="1" t="s">
        <v>60</v>
      </c>
      <c r="L126" s="1" t="s">
        <v>23</v>
      </c>
      <c r="M126" s="1" t="s">
        <v>36</v>
      </c>
    </row>
    <row r="127" spans="1:13" x14ac:dyDescent="0.3">
      <c r="A127" s="1" t="s">
        <v>372</v>
      </c>
      <c r="B127" s="1" t="s">
        <v>300</v>
      </c>
      <c r="C127" s="1" t="s">
        <v>364</v>
      </c>
      <c r="D127" s="1" t="s">
        <v>59</v>
      </c>
      <c r="E127" s="1" t="s">
        <v>89</v>
      </c>
      <c r="F127" s="1" t="s">
        <v>90</v>
      </c>
      <c r="G127" s="1" t="s">
        <v>74</v>
      </c>
      <c r="H127" s="1" t="s">
        <v>43</v>
      </c>
      <c r="I127" s="1" t="s">
        <v>92</v>
      </c>
      <c r="J127" s="1" t="s">
        <v>93</v>
      </c>
      <c r="K127" s="1" t="s">
        <v>35</v>
      </c>
      <c r="L127" s="1" t="s">
        <v>46</v>
      </c>
      <c r="M127" s="1" t="s">
        <v>36</v>
      </c>
    </row>
    <row r="128" spans="1:13" x14ac:dyDescent="0.3">
      <c r="A128" s="1" t="s">
        <v>373</v>
      </c>
      <c r="B128" s="1" t="s">
        <v>374</v>
      </c>
      <c r="C128" s="1" t="s">
        <v>152</v>
      </c>
      <c r="D128" s="1" t="s">
        <v>124</v>
      </c>
      <c r="E128" s="1" t="s">
        <v>29</v>
      </c>
      <c r="F128" s="1" t="s">
        <v>30</v>
      </c>
      <c r="G128" s="1" t="s">
        <v>31</v>
      </c>
      <c r="H128" s="1" t="s">
        <v>32</v>
      </c>
      <c r="I128" s="1" t="s">
        <v>33</v>
      </c>
      <c r="J128" s="1" t="s">
        <v>34</v>
      </c>
      <c r="K128" s="1" t="s">
        <v>60</v>
      </c>
      <c r="L128" s="1" t="s">
        <v>46</v>
      </c>
      <c r="M128" s="1" t="s">
        <v>36</v>
      </c>
    </row>
    <row r="129" spans="1:13" x14ac:dyDescent="0.3">
      <c r="A129" s="1" t="s">
        <v>375</v>
      </c>
      <c r="B129" s="1" t="s">
        <v>376</v>
      </c>
      <c r="C129" s="1" t="s">
        <v>377</v>
      </c>
      <c r="D129" s="1" t="s">
        <v>124</v>
      </c>
      <c r="E129" s="1" t="s">
        <v>106</v>
      </c>
      <c r="F129" s="1" t="s">
        <v>107</v>
      </c>
      <c r="G129" s="1" t="s">
        <v>31</v>
      </c>
      <c r="H129" s="1" t="s">
        <v>85</v>
      </c>
      <c r="I129" s="1" t="s">
        <v>34</v>
      </c>
      <c r="J129" s="1" t="s">
        <v>108</v>
      </c>
      <c r="K129" s="1" t="s">
        <v>35</v>
      </c>
      <c r="L129" s="1" t="s">
        <v>46</v>
      </c>
      <c r="M129" s="1" t="s">
        <v>36</v>
      </c>
    </row>
    <row r="130" spans="1:13" x14ac:dyDescent="0.3">
      <c r="A130" s="1" t="s">
        <v>378</v>
      </c>
      <c r="B130" s="1" t="s">
        <v>355</v>
      </c>
      <c r="C130" s="1" t="s">
        <v>152</v>
      </c>
      <c r="D130" s="1" t="s">
        <v>50</v>
      </c>
      <c r="E130" s="1" t="s">
        <v>29</v>
      </c>
      <c r="F130" s="1" t="s">
        <v>30</v>
      </c>
      <c r="G130" s="1" t="s">
        <v>31</v>
      </c>
      <c r="H130" s="1" t="s">
        <v>85</v>
      </c>
      <c r="I130" s="1" t="s">
        <v>33</v>
      </c>
      <c r="J130" s="1" t="s">
        <v>34</v>
      </c>
      <c r="K130" s="1" t="s">
        <v>114</v>
      </c>
      <c r="L130" s="1" t="s">
        <v>46</v>
      </c>
      <c r="M130" s="1" t="s">
        <v>36</v>
      </c>
    </row>
    <row r="131" spans="1:13" x14ac:dyDescent="0.3">
      <c r="A131" s="1" t="s">
        <v>379</v>
      </c>
      <c r="B131" s="1" t="s">
        <v>181</v>
      </c>
      <c r="C131" s="1" t="s">
        <v>248</v>
      </c>
      <c r="D131" s="1" t="s">
        <v>28</v>
      </c>
      <c r="E131" s="1" t="s">
        <v>40</v>
      </c>
      <c r="F131" s="1" t="s">
        <v>41</v>
      </c>
      <c r="G131" s="1" t="s">
        <v>42</v>
      </c>
      <c r="H131" s="1" t="s">
        <v>53</v>
      </c>
      <c r="I131" s="1" t="s">
        <v>44</v>
      </c>
      <c r="J131" s="1" t="s">
        <v>45</v>
      </c>
      <c r="K131" s="1" t="s">
        <v>35</v>
      </c>
      <c r="L131" s="1" t="s">
        <v>46</v>
      </c>
      <c r="M131" s="1" t="s">
        <v>36</v>
      </c>
    </row>
    <row r="132" spans="1:13" x14ac:dyDescent="0.3">
      <c r="A132" s="1" t="s">
        <v>380</v>
      </c>
      <c r="B132" s="1" t="s">
        <v>142</v>
      </c>
      <c r="C132" s="1" t="s">
        <v>140</v>
      </c>
      <c r="D132" s="1" t="s">
        <v>28</v>
      </c>
      <c r="E132" s="1" t="s">
        <v>40</v>
      </c>
      <c r="F132" s="1" t="s">
        <v>41</v>
      </c>
      <c r="G132" s="1" t="s">
        <v>42</v>
      </c>
      <c r="H132" s="1" t="s">
        <v>43</v>
      </c>
      <c r="I132" s="1" t="s">
        <v>44</v>
      </c>
      <c r="J132" s="1" t="s">
        <v>45</v>
      </c>
      <c r="K132" s="1" t="s">
        <v>20</v>
      </c>
      <c r="L132" s="1" t="s">
        <v>23</v>
      </c>
      <c r="M132" s="1" t="s">
        <v>172</v>
      </c>
    </row>
    <row r="133" spans="1:13" x14ac:dyDescent="0.3">
      <c r="A133" s="1" t="s">
        <v>381</v>
      </c>
      <c r="B133" s="1" t="s">
        <v>329</v>
      </c>
      <c r="C133" s="1" t="s">
        <v>382</v>
      </c>
      <c r="D133" s="1" t="s">
        <v>124</v>
      </c>
      <c r="E133" s="1" t="s">
        <v>40</v>
      </c>
      <c r="F133" s="1" t="s">
        <v>41</v>
      </c>
      <c r="G133" s="1" t="s">
        <v>42</v>
      </c>
      <c r="H133" s="1" t="s">
        <v>149</v>
      </c>
      <c r="I133" s="1" t="s">
        <v>44</v>
      </c>
      <c r="J133" s="1" t="s">
        <v>45</v>
      </c>
      <c r="K133" s="1" t="s">
        <v>35</v>
      </c>
      <c r="L133" s="1" t="s">
        <v>46</v>
      </c>
      <c r="M133" s="1" t="s">
        <v>36</v>
      </c>
    </row>
    <row r="134" spans="1:13" x14ac:dyDescent="0.3">
      <c r="A134" s="1" t="s">
        <v>383</v>
      </c>
      <c r="B134" s="1" t="s">
        <v>384</v>
      </c>
      <c r="C134" s="1" t="s">
        <v>197</v>
      </c>
      <c r="D134" s="1" t="s">
        <v>59</v>
      </c>
      <c r="E134" s="1" t="s">
        <v>72</v>
      </c>
      <c r="F134" s="1" t="s">
        <v>73</v>
      </c>
      <c r="G134" s="1" t="s">
        <v>74</v>
      </c>
      <c r="H134" s="1" t="s">
        <v>66</v>
      </c>
      <c r="I134" s="1" t="s">
        <v>75</v>
      </c>
      <c r="J134" s="1" t="s">
        <v>76</v>
      </c>
      <c r="K134" s="1" t="s">
        <v>60</v>
      </c>
      <c r="L134" s="1" t="s">
        <v>46</v>
      </c>
      <c r="M134" s="1" t="s">
        <v>36</v>
      </c>
    </row>
    <row r="135" spans="1:13" x14ac:dyDescent="0.3">
      <c r="A135" s="1" t="s">
        <v>385</v>
      </c>
      <c r="B135" s="1" t="s">
        <v>386</v>
      </c>
      <c r="C135" s="1" t="s">
        <v>123</v>
      </c>
      <c r="D135" s="1" t="s">
        <v>124</v>
      </c>
      <c r="E135" s="1" t="s">
        <v>89</v>
      </c>
      <c r="F135" s="1" t="s">
        <v>90</v>
      </c>
      <c r="G135" s="1" t="s">
        <v>74</v>
      </c>
      <c r="H135" s="1" t="s">
        <v>53</v>
      </c>
      <c r="I135" s="1" t="s">
        <v>92</v>
      </c>
      <c r="J135" s="1" t="s">
        <v>93</v>
      </c>
      <c r="K135" s="1" t="s">
        <v>60</v>
      </c>
      <c r="L135" s="1" t="s">
        <v>23</v>
      </c>
      <c r="M135" s="1" t="s">
        <v>36</v>
      </c>
    </row>
    <row r="136" spans="1:13" x14ac:dyDescent="0.3">
      <c r="A136" s="1" t="s">
        <v>387</v>
      </c>
      <c r="B136" s="1" t="s">
        <v>265</v>
      </c>
      <c r="C136" s="1" t="s">
        <v>88</v>
      </c>
      <c r="D136" s="1" t="s">
        <v>50</v>
      </c>
      <c r="E136" s="1" t="s">
        <v>89</v>
      </c>
      <c r="F136" s="1" t="s">
        <v>90</v>
      </c>
      <c r="G136" s="1" t="s">
        <v>74</v>
      </c>
      <c r="H136" s="1" t="s">
        <v>149</v>
      </c>
      <c r="I136" s="1" t="s">
        <v>92</v>
      </c>
      <c r="J136" s="1" t="s">
        <v>93</v>
      </c>
      <c r="K136" s="1" t="s">
        <v>114</v>
      </c>
      <c r="L136" s="1" t="s">
        <v>23</v>
      </c>
      <c r="M136" s="1" t="s">
        <v>24</v>
      </c>
    </row>
    <row r="137" spans="1:13" x14ac:dyDescent="0.3">
      <c r="A137" s="1" t="s">
        <v>388</v>
      </c>
      <c r="B137" s="1" t="s">
        <v>335</v>
      </c>
      <c r="C137" s="1" t="s">
        <v>320</v>
      </c>
      <c r="D137" s="1" t="s">
        <v>59</v>
      </c>
      <c r="E137" s="1" t="s">
        <v>51</v>
      </c>
      <c r="F137" s="1" t="s">
        <v>52</v>
      </c>
      <c r="G137" s="1" t="s">
        <v>42</v>
      </c>
      <c r="H137" s="1" t="s">
        <v>43</v>
      </c>
      <c r="I137" s="1" t="s">
        <v>54</v>
      </c>
      <c r="J137" s="1" t="s">
        <v>55</v>
      </c>
      <c r="K137" s="1" t="s">
        <v>20</v>
      </c>
      <c r="L137" s="1" t="s">
        <v>46</v>
      </c>
      <c r="M137" s="1" t="s">
        <v>36</v>
      </c>
    </row>
    <row r="138" spans="1:13" x14ac:dyDescent="0.3">
      <c r="A138" s="1" t="s">
        <v>389</v>
      </c>
      <c r="B138" s="1" t="s">
        <v>179</v>
      </c>
      <c r="C138" s="1" t="s">
        <v>390</v>
      </c>
      <c r="D138" s="1" t="s">
        <v>59</v>
      </c>
      <c r="E138" s="1" t="s">
        <v>64</v>
      </c>
      <c r="F138" s="1" t="s">
        <v>65</v>
      </c>
      <c r="G138" s="1" t="s">
        <v>42</v>
      </c>
      <c r="H138" s="1" t="s">
        <v>85</v>
      </c>
      <c r="I138" s="1" t="s">
        <v>67</v>
      </c>
      <c r="J138" s="1" t="s">
        <v>68</v>
      </c>
      <c r="K138" s="1" t="s">
        <v>60</v>
      </c>
      <c r="L138" s="1" t="s">
        <v>23</v>
      </c>
      <c r="M138" s="1" t="s">
        <v>36</v>
      </c>
    </row>
    <row r="139" spans="1:13" x14ac:dyDescent="0.3">
      <c r="A139" s="1" t="s">
        <v>391</v>
      </c>
      <c r="B139" s="1" t="s">
        <v>392</v>
      </c>
      <c r="C139" s="1" t="s">
        <v>166</v>
      </c>
      <c r="D139" s="1" t="s">
        <v>59</v>
      </c>
      <c r="E139" s="1" t="s">
        <v>64</v>
      </c>
      <c r="F139" s="1" t="s">
        <v>65</v>
      </c>
      <c r="G139" s="1" t="s">
        <v>42</v>
      </c>
      <c r="H139" s="1" t="s">
        <v>85</v>
      </c>
      <c r="I139" s="1" t="s">
        <v>67</v>
      </c>
      <c r="J139" s="1" t="s">
        <v>68</v>
      </c>
      <c r="K139" s="1" t="s">
        <v>20</v>
      </c>
      <c r="L139" s="1" t="s">
        <v>46</v>
      </c>
      <c r="M139" s="1" t="s">
        <v>36</v>
      </c>
    </row>
    <row r="140" spans="1:13" x14ac:dyDescent="0.3">
      <c r="A140" s="1" t="s">
        <v>393</v>
      </c>
      <c r="B140" s="1" t="s">
        <v>95</v>
      </c>
      <c r="C140" s="1" t="s">
        <v>102</v>
      </c>
      <c r="D140" s="1" t="s">
        <v>50</v>
      </c>
      <c r="E140" s="1" t="s">
        <v>106</v>
      </c>
      <c r="F140" s="1" t="s">
        <v>107</v>
      </c>
      <c r="G140" s="1" t="s">
        <v>31</v>
      </c>
      <c r="H140" s="1" t="s">
        <v>91</v>
      </c>
      <c r="I140" s="1" t="s">
        <v>34</v>
      </c>
      <c r="J140" s="1" t="s">
        <v>108</v>
      </c>
      <c r="K140" s="1" t="s">
        <v>35</v>
      </c>
      <c r="L140" s="1" t="s">
        <v>23</v>
      </c>
      <c r="M140" s="1" t="s">
        <v>36</v>
      </c>
    </row>
    <row r="141" spans="1:13" x14ac:dyDescent="0.3">
      <c r="A141" s="1" t="s">
        <v>394</v>
      </c>
      <c r="B141" s="1" t="s">
        <v>395</v>
      </c>
      <c r="C141" s="1" t="s">
        <v>396</v>
      </c>
      <c r="D141" s="1" t="s">
        <v>59</v>
      </c>
      <c r="E141" s="1" t="s">
        <v>17</v>
      </c>
      <c r="F141" s="1" t="s">
        <v>18</v>
      </c>
      <c r="G141" s="1" t="s">
        <v>74</v>
      </c>
      <c r="H141" s="1" t="s">
        <v>66</v>
      </c>
      <c r="I141" s="1" t="s">
        <v>80</v>
      </c>
      <c r="J141" s="1" t="s">
        <v>81</v>
      </c>
      <c r="K141" s="1" t="s">
        <v>35</v>
      </c>
      <c r="L141" s="1" t="s">
        <v>46</v>
      </c>
      <c r="M141" s="1" t="s">
        <v>36</v>
      </c>
    </row>
    <row r="142" spans="1:13" x14ac:dyDescent="0.3">
      <c r="A142" s="1" t="s">
        <v>397</v>
      </c>
      <c r="B142" s="1" t="s">
        <v>398</v>
      </c>
      <c r="C142" s="1" t="s">
        <v>254</v>
      </c>
      <c r="D142" s="1" t="s">
        <v>28</v>
      </c>
      <c r="E142" s="1" t="s">
        <v>17</v>
      </c>
      <c r="F142" s="1" t="s">
        <v>18</v>
      </c>
      <c r="G142" s="1" t="s">
        <v>74</v>
      </c>
      <c r="H142" s="1" t="s">
        <v>32</v>
      </c>
      <c r="I142" s="1" t="s">
        <v>80</v>
      </c>
      <c r="J142" s="1" t="s">
        <v>81</v>
      </c>
      <c r="K142" s="1" t="s">
        <v>35</v>
      </c>
      <c r="L142" s="1" t="s">
        <v>23</v>
      </c>
      <c r="M142" s="1" t="s">
        <v>36</v>
      </c>
    </row>
    <row r="143" spans="1:13" x14ac:dyDescent="0.3">
      <c r="A143" s="1" t="s">
        <v>399</v>
      </c>
      <c r="B143" s="1" t="s">
        <v>269</v>
      </c>
      <c r="C143" s="1" t="s">
        <v>305</v>
      </c>
      <c r="D143" s="1" t="s">
        <v>124</v>
      </c>
      <c r="E143" s="1" t="s">
        <v>106</v>
      </c>
      <c r="F143" s="1" t="s">
        <v>107</v>
      </c>
      <c r="G143" s="1" t="s">
        <v>31</v>
      </c>
      <c r="H143" s="1" t="s">
        <v>32</v>
      </c>
      <c r="I143" s="1" t="s">
        <v>34</v>
      </c>
      <c r="J143" s="1" t="s">
        <v>108</v>
      </c>
      <c r="K143" s="1" t="s">
        <v>22</v>
      </c>
      <c r="L143" s="1" t="s">
        <v>46</v>
      </c>
      <c r="M143" s="1" t="s">
        <v>36</v>
      </c>
    </row>
    <row r="144" spans="1:13" x14ac:dyDescent="0.3">
      <c r="A144" s="1" t="s">
        <v>400</v>
      </c>
      <c r="B144" s="1" t="s">
        <v>245</v>
      </c>
      <c r="C144" s="1" t="s">
        <v>169</v>
      </c>
      <c r="D144" s="1" t="s">
        <v>16</v>
      </c>
      <c r="E144" s="1" t="s">
        <v>64</v>
      </c>
      <c r="F144" s="1" t="s">
        <v>65</v>
      </c>
      <c r="G144" s="1" t="s">
        <v>42</v>
      </c>
      <c r="H144" s="1" t="s">
        <v>85</v>
      </c>
      <c r="I144" s="1" t="s">
        <v>67</v>
      </c>
      <c r="J144" s="1" t="s">
        <v>68</v>
      </c>
      <c r="K144" s="1" t="s">
        <v>20</v>
      </c>
      <c r="L144" s="1" t="s">
        <v>23</v>
      </c>
      <c r="M144" s="1" t="s">
        <v>36</v>
      </c>
    </row>
    <row r="145" spans="1:13" x14ac:dyDescent="0.3">
      <c r="A145" s="1" t="s">
        <v>401</v>
      </c>
      <c r="B145" s="1" t="s">
        <v>269</v>
      </c>
      <c r="C145" s="1" t="s">
        <v>162</v>
      </c>
      <c r="D145" s="1" t="s">
        <v>59</v>
      </c>
      <c r="E145" s="1" t="s">
        <v>29</v>
      </c>
      <c r="F145" s="1" t="s">
        <v>30</v>
      </c>
      <c r="G145" s="1" t="s">
        <v>31</v>
      </c>
      <c r="H145" s="1" t="s">
        <v>149</v>
      </c>
      <c r="I145" s="1" t="s">
        <v>33</v>
      </c>
      <c r="J145" s="1" t="s">
        <v>34</v>
      </c>
      <c r="K145" s="1" t="s">
        <v>20</v>
      </c>
      <c r="L145" s="1" t="s">
        <v>23</v>
      </c>
      <c r="M145" s="1" t="s">
        <v>36</v>
      </c>
    </row>
    <row r="146" spans="1:13" x14ac:dyDescent="0.3">
      <c r="A146" s="1" t="s">
        <v>402</v>
      </c>
      <c r="B146" s="1" t="s">
        <v>403</v>
      </c>
      <c r="C146" s="1" t="s">
        <v>325</v>
      </c>
      <c r="D146" s="1" t="s">
        <v>28</v>
      </c>
      <c r="E146" s="1" t="s">
        <v>51</v>
      </c>
      <c r="F146" s="1" t="s">
        <v>52</v>
      </c>
      <c r="G146" s="1" t="s">
        <v>42</v>
      </c>
      <c r="H146" s="1" t="s">
        <v>66</v>
      </c>
      <c r="I146" s="1" t="s">
        <v>54</v>
      </c>
      <c r="J146" s="1" t="s">
        <v>55</v>
      </c>
      <c r="K146" s="1" t="s">
        <v>60</v>
      </c>
      <c r="L146" s="1" t="s">
        <v>23</v>
      </c>
      <c r="M146" s="1" t="s">
        <v>36</v>
      </c>
    </row>
    <row r="147" spans="1:13" x14ac:dyDescent="0.3">
      <c r="A147" s="1" t="s">
        <v>404</v>
      </c>
      <c r="B147" s="1" t="s">
        <v>405</v>
      </c>
      <c r="C147" s="1" t="s">
        <v>117</v>
      </c>
      <c r="D147" s="1" t="s">
        <v>406</v>
      </c>
      <c r="E147" s="1" t="s">
        <v>29</v>
      </c>
      <c r="F147" s="1" t="s">
        <v>30</v>
      </c>
      <c r="G147" s="1" t="s">
        <v>31</v>
      </c>
      <c r="H147" s="1" t="s">
        <v>149</v>
      </c>
      <c r="I147" s="1" t="s">
        <v>33</v>
      </c>
      <c r="J147" s="1" t="s">
        <v>34</v>
      </c>
      <c r="K147" s="1" t="s">
        <v>114</v>
      </c>
      <c r="L147" s="1" t="s">
        <v>23</v>
      </c>
      <c r="M147" s="1" t="s">
        <v>36</v>
      </c>
    </row>
    <row r="148" spans="1:13" x14ac:dyDescent="0.3">
      <c r="A148" s="1" t="s">
        <v>407</v>
      </c>
      <c r="B148" s="1" t="s">
        <v>95</v>
      </c>
      <c r="C148" s="1" t="s">
        <v>356</v>
      </c>
      <c r="D148" s="1" t="s">
        <v>28</v>
      </c>
      <c r="E148" s="1" t="s">
        <v>64</v>
      </c>
      <c r="F148" s="1" t="s">
        <v>65</v>
      </c>
      <c r="G148" s="1" t="s">
        <v>42</v>
      </c>
      <c r="H148" s="1" t="s">
        <v>43</v>
      </c>
      <c r="I148" s="1" t="s">
        <v>67</v>
      </c>
      <c r="J148" s="1" t="s">
        <v>68</v>
      </c>
      <c r="K148" s="1" t="s">
        <v>20</v>
      </c>
      <c r="L148" s="1" t="s">
        <v>46</v>
      </c>
      <c r="M148" s="1" t="s">
        <v>36</v>
      </c>
    </row>
    <row r="149" spans="1:13" x14ac:dyDescent="0.3">
      <c r="A149" s="1" t="s">
        <v>408</v>
      </c>
      <c r="B149" s="1" t="s">
        <v>409</v>
      </c>
      <c r="C149" s="1" t="s">
        <v>410</v>
      </c>
      <c r="D149" s="1" t="s">
        <v>124</v>
      </c>
      <c r="E149" s="1" t="s">
        <v>64</v>
      </c>
      <c r="F149" s="1" t="s">
        <v>65</v>
      </c>
      <c r="G149" s="1" t="s">
        <v>42</v>
      </c>
      <c r="H149" s="1" t="s">
        <v>66</v>
      </c>
      <c r="I149" s="1" t="s">
        <v>67</v>
      </c>
      <c r="J149" s="1" t="s">
        <v>68</v>
      </c>
      <c r="K149" s="1" t="s">
        <v>114</v>
      </c>
      <c r="L149" s="1" t="s">
        <v>23</v>
      </c>
      <c r="M149" s="1" t="s">
        <v>36</v>
      </c>
    </row>
    <row r="150" spans="1:13" x14ac:dyDescent="0.3">
      <c r="A150" s="1" t="s">
        <v>411</v>
      </c>
      <c r="B150" s="1" t="s">
        <v>412</v>
      </c>
      <c r="C150" s="1" t="s">
        <v>410</v>
      </c>
      <c r="D150" s="1" t="s">
        <v>124</v>
      </c>
      <c r="E150" s="1" t="s">
        <v>106</v>
      </c>
      <c r="F150" s="1" t="s">
        <v>107</v>
      </c>
      <c r="G150" s="1" t="s">
        <v>31</v>
      </c>
      <c r="H150" s="1" t="s">
        <v>149</v>
      </c>
      <c r="I150" s="1" t="s">
        <v>34</v>
      </c>
      <c r="J150" s="1" t="s">
        <v>108</v>
      </c>
      <c r="K150" s="1" t="s">
        <v>114</v>
      </c>
      <c r="L150" s="1" t="s">
        <v>46</v>
      </c>
      <c r="M150" s="1" t="s">
        <v>36</v>
      </c>
    </row>
    <row r="151" spans="1:13" x14ac:dyDescent="0.3">
      <c r="A151" s="1" t="s">
        <v>413</v>
      </c>
      <c r="B151" s="1" t="s">
        <v>392</v>
      </c>
      <c r="C151" s="1" t="s">
        <v>318</v>
      </c>
      <c r="D151" s="1" t="s">
        <v>124</v>
      </c>
      <c r="E151" s="1" t="s">
        <v>17</v>
      </c>
      <c r="F151" s="1" t="s">
        <v>18</v>
      </c>
      <c r="G151" s="1" t="s">
        <v>74</v>
      </c>
      <c r="H151" s="1" t="s">
        <v>53</v>
      </c>
      <c r="I151" s="1" t="s">
        <v>80</v>
      </c>
      <c r="J151" s="1" t="s">
        <v>81</v>
      </c>
      <c r="K151" s="1" t="s">
        <v>20</v>
      </c>
      <c r="L151" s="1" t="s">
        <v>23</v>
      </c>
      <c r="M151" s="1" t="s">
        <v>36</v>
      </c>
    </row>
    <row r="152" spans="1:13" x14ac:dyDescent="0.3">
      <c r="A152" s="1" t="s">
        <v>414</v>
      </c>
      <c r="B152" s="1" t="s">
        <v>165</v>
      </c>
      <c r="C152" s="1" t="s">
        <v>191</v>
      </c>
      <c r="D152" s="1" t="s">
        <v>50</v>
      </c>
      <c r="E152" s="1" t="s">
        <v>29</v>
      </c>
      <c r="F152" s="1" t="s">
        <v>30</v>
      </c>
      <c r="G152" s="1" t="s">
        <v>31</v>
      </c>
      <c r="H152" s="1" t="s">
        <v>32</v>
      </c>
      <c r="I152" s="1" t="s">
        <v>33</v>
      </c>
      <c r="J152" s="1" t="s">
        <v>34</v>
      </c>
      <c r="K152" s="1" t="s">
        <v>60</v>
      </c>
      <c r="L152" s="1" t="s">
        <v>46</v>
      </c>
      <c r="M152" s="1" t="s">
        <v>36</v>
      </c>
    </row>
    <row r="153" spans="1:13" x14ac:dyDescent="0.3">
      <c r="A153" s="1" t="s">
        <v>415</v>
      </c>
      <c r="B153" s="1" t="s">
        <v>129</v>
      </c>
      <c r="C153" s="1" t="s">
        <v>416</v>
      </c>
      <c r="D153" s="1" t="s">
        <v>59</v>
      </c>
      <c r="E153" s="1" t="s">
        <v>64</v>
      </c>
      <c r="F153" s="1" t="s">
        <v>65</v>
      </c>
      <c r="G153" s="1" t="s">
        <v>42</v>
      </c>
      <c r="H153" s="1" t="s">
        <v>66</v>
      </c>
      <c r="I153" s="1" t="s">
        <v>67</v>
      </c>
      <c r="J153" s="1" t="s">
        <v>68</v>
      </c>
      <c r="K153" s="1" t="s">
        <v>20</v>
      </c>
      <c r="L153" s="1" t="s">
        <v>23</v>
      </c>
      <c r="M153" s="1" t="s">
        <v>36</v>
      </c>
    </row>
    <row r="154" spans="1:13" x14ac:dyDescent="0.3">
      <c r="A154" s="1" t="s">
        <v>417</v>
      </c>
      <c r="B154" s="1" t="s">
        <v>418</v>
      </c>
      <c r="C154" s="1" t="s">
        <v>382</v>
      </c>
      <c r="D154" s="1" t="s">
        <v>124</v>
      </c>
      <c r="E154" s="1" t="s">
        <v>106</v>
      </c>
      <c r="F154" s="1" t="s">
        <v>107</v>
      </c>
      <c r="G154" s="1" t="s">
        <v>31</v>
      </c>
      <c r="H154" s="1" t="s">
        <v>43</v>
      </c>
      <c r="I154" s="1" t="s">
        <v>34</v>
      </c>
      <c r="J154" s="1" t="s">
        <v>108</v>
      </c>
      <c r="K154" s="1" t="s">
        <v>35</v>
      </c>
      <c r="L154" s="1" t="s">
        <v>23</v>
      </c>
      <c r="M154" s="1" t="s">
        <v>172</v>
      </c>
    </row>
    <row r="155" spans="1:13" x14ac:dyDescent="0.3">
      <c r="A155" s="1" t="s">
        <v>419</v>
      </c>
      <c r="B155" s="1" t="s">
        <v>420</v>
      </c>
      <c r="C155" s="1" t="s">
        <v>137</v>
      </c>
      <c r="D155" s="1" t="s">
        <v>59</v>
      </c>
      <c r="E155" s="1" t="s">
        <v>51</v>
      </c>
      <c r="F155" s="1" t="s">
        <v>52</v>
      </c>
      <c r="G155" s="1" t="s">
        <v>42</v>
      </c>
      <c r="H155" s="1" t="s">
        <v>91</v>
      </c>
      <c r="I155" s="1" t="s">
        <v>54</v>
      </c>
      <c r="J155" s="1" t="s">
        <v>55</v>
      </c>
      <c r="K155" s="1" t="s">
        <v>20</v>
      </c>
      <c r="L155" s="1" t="s">
        <v>46</v>
      </c>
      <c r="M155" s="1" t="s">
        <v>172</v>
      </c>
    </row>
    <row r="156" spans="1:13" x14ac:dyDescent="0.3">
      <c r="A156" s="1" t="s">
        <v>421</v>
      </c>
      <c r="B156" s="1" t="s">
        <v>422</v>
      </c>
      <c r="C156" s="1" t="s">
        <v>260</v>
      </c>
      <c r="D156" s="1" t="s">
        <v>28</v>
      </c>
      <c r="E156" s="1" t="s">
        <v>40</v>
      </c>
      <c r="F156" s="1" t="s">
        <v>41</v>
      </c>
      <c r="G156" s="1" t="s">
        <v>42</v>
      </c>
      <c r="H156" s="1" t="s">
        <v>32</v>
      </c>
      <c r="I156" s="1" t="s">
        <v>44</v>
      </c>
      <c r="J156" s="1" t="s">
        <v>45</v>
      </c>
      <c r="K156" s="1" t="s">
        <v>35</v>
      </c>
      <c r="L156" s="1" t="s">
        <v>23</v>
      </c>
      <c r="M156" s="1" t="s">
        <v>36</v>
      </c>
    </row>
    <row r="157" spans="1:13" x14ac:dyDescent="0.3">
      <c r="A157" s="1" t="s">
        <v>423</v>
      </c>
      <c r="B157" s="1" t="s">
        <v>424</v>
      </c>
      <c r="C157" s="1" t="s">
        <v>425</v>
      </c>
      <c r="D157" s="1" t="s">
        <v>59</v>
      </c>
      <c r="E157" s="1" t="s">
        <v>17</v>
      </c>
      <c r="F157" s="1" t="s">
        <v>18</v>
      </c>
      <c r="G157" s="1" t="s">
        <v>74</v>
      </c>
      <c r="H157" s="1" t="s">
        <v>66</v>
      </c>
      <c r="I157" s="1" t="s">
        <v>80</v>
      </c>
      <c r="J157" s="1" t="s">
        <v>81</v>
      </c>
      <c r="K157" s="1" t="s">
        <v>60</v>
      </c>
      <c r="L157" s="1" t="s">
        <v>46</v>
      </c>
      <c r="M157" s="1" t="s">
        <v>36</v>
      </c>
    </row>
    <row r="158" spans="1:13" x14ac:dyDescent="0.3">
      <c r="A158" s="1" t="s">
        <v>426</v>
      </c>
      <c r="B158" s="1" t="s">
        <v>129</v>
      </c>
      <c r="C158" s="1" t="s">
        <v>120</v>
      </c>
      <c r="D158" s="1" t="s">
        <v>28</v>
      </c>
      <c r="E158" s="1" t="s">
        <v>40</v>
      </c>
      <c r="F158" s="1" t="s">
        <v>41</v>
      </c>
      <c r="G158" s="1" t="s">
        <v>42</v>
      </c>
      <c r="H158" s="1" t="s">
        <v>91</v>
      </c>
      <c r="I158" s="1" t="s">
        <v>44</v>
      </c>
      <c r="J158" s="1" t="s">
        <v>45</v>
      </c>
      <c r="K158" s="1" t="s">
        <v>114</v>
      </c>
      <c r="L158" s="1" t="s">
        <v>23</v>
      </c>
      <c r="M158" s="1" t="s">
        <v>36</v>
      </c>
    </row>
    <row r="159" spans="1:13" x14ac:dyDescent="0.3">
      <c r="A159" s="1" t="s">
        <v>427</v>
      </c>
      <c r="B159" s="1" t="s">
        <v>161</v>
      </c>
      <c r="C159" s="1" t="s">
        <v>145</v>
      </c>
      <c r="D159" s="1" t="s">
        <v>59</v>
      </c>
      <c r="E159" s="1" t="s">
        <v>29</v>
      </c>
      <c r="F159" s="1" t="s">
        <v>30</v>
      </c>
      <c r="G159" s="1" t="s">
        <v>31</v>
      </c>
      <c r="H159" s="1" t="s">
        <v>66</v>
      </c>
      <c r="I159" s="1" t="s">
        <v>33</v>
      </c>
      <c r="J159" s="1" t="s">
        <v>34</v>
      </c>
      <c r="K159" s="1" t="s">
        <v>114</v>
      </c>
      <c r="L159" s="1" t="s">
        <v>23</v>
      </c>
      <c r="M159" s="1" t="s">
        <v>36</v>
      </c>
    </row>
    <row r="160" spans="1:13" x14ac:dyDescent="0.3">
      <c r="A160" s="1" t="s">
        <v>428</v>
      </c>
      <c r="B160" s="1" t="s">
        <v>429</v>
      </c>
      <c r="C160" s="1" t="s">
        <v>279</v>
      </c>
      <c r="D160" s="1" t="s">
        <v>50</v>
      </c>
      <c r="E160" s="1" t="s">
        <v>64</v>
      </c>
      <c r="F160" s="1" t="s">
        <v>65</v>
      </c>
      <c r="G160" s="1" t="s">
        <v>42</v>
      </c>
      <c r="H160" s="1" t="s">
        <v>149</v>
      </c>
      <c r="I160" s="1" t="s">
        <v>67</v>
      </c>
      <c r="J160" s="1" t="s">
        <v>68</v>
      </c>
      <c r="K160" s="1" t="s">
        <v>20</v>
      </c>
      <c r="L160" s="1" t="s">
        <v>23</v>
      </c>
      <c r="M160" s="1" t="s">
        <v>36</v>
      </c>
    </row>
    <row r="161" spans="1:13" x14ac:dyDescent="0.3">
      <c r="A161" s="1" t="s">
        <v>430</v>
      </c>
      <c r="B161" s="1" t="s">
        <v>161</v>
      </c>
      <c r="C161" s="1" t="s">
        <v>39</v>
      </c>
      <c r="D161" s="1" t="s">
        <v>50</v>
      </c>
      <c r="E161" s="1" t="s">
        <v>72</v>
      </c>
      <c r="F161" s="1" t="s">
        <v>73</v>
      </c>
      <c r="G161" s="1" t="s">
        <v>74</v>
      </c>
      <c r="H161" s="1" t="s">
        <v>53</v>
      </c>
      <c r="I161" s="1" t="s">
        <v>431</v>
      </c>
      <c r="J161" s="1" t="s">
        <v>76</v>
      </c>
      <c r="K161" s="1" t="s">
        <v>114</v>
      </c>
      <c r="L161" s="1" t="s">
        <v>46</v>
      </c>
      <c r="M161" s="1" t="s">
        <v>36</v>
      </c>
    </row>
    <row r="162" spans="1:13" x14ac:dyDescent="0.3">
      <c r="A162" s="1" t="s">
        <v>432</v>
      </c>
      <c r="B162" s="1" t="s">
        <v>433</v>
      </c>
      <c r="C162" s="1" t="s">
        <v>105</v>
      </c>
      <c r="D162" s="1" t="s">
        <v>124</v>
      </c>
      <c r="E162" s="1" t="s">
        <v>106</v>
      </c>
      <c r="F162" s="1" t="s">
        <v>107</v>
      </c>
      <c r="G162" s="1" t="s">
        <v>31</v>
      </c>
      <c r="H162" s="1" t="s">
        <v>32</v>
      </c>
      <c r="I162" s="1" t="s">
        <v>34</v>
      </c>
      <c r="J162" s="1" t="s">
        <v>108</v>
      </c>
      <c r="K162" s="1" t="s">
        <v>60</v>
      </c>
      <c r="L162" s="1" t="s">
        <v>46</v>
      </c>
      <c r="M162" s="1" t="s">
        <v>36</v>
      </c>
    </row>
    <row r="163" spans="1:13" x14ac:dyDescent="0.3">
      <c r="A163" s="1" t="s">
        <v>434</v>
      </c>
      <c r="B163" s="1" t="s">
        <v>435</v>
      </c>
      <c r="C163" s="1" t="s">
        <v>191</v>
      </c>
      <c r="D163" s="1" t="s">
        <v>50</v>
      </c>
      <c r="E163" s="1" t="s">
        <v>17</v>
      </c>
      <c r="F163" s="1" t="s">
        <v>18</v>
      </c>
      <c r="G163" s="1" t="s">
        <v>74</v>
      </c>
      <c r="H163" s="1" t="s">
        <v>85</v>
      </c>
      <c r="I163" s="1" t="s">
        <v>80</v>
      </c>
      <c r="J163" s="1" t="s">
        <v>81</v>
      </c>
      <c r="K163" s="1" t="s">
        <v>60</v>
      </c>
      <c r="L163" s="1" t="s">
        <v>23</v>
      </c>
      <c r="M163" s="1" t="s">
        <v>36</v>
      </c>
    </row>
    <row r="164" spans="1:13" x14ac:dyDescent="0.3">
      <c r="A164" s="1" t="s">
        <v>436</v>
      </c>
      <c r="B164" s="1" t="s">
        <v>288</v>
      </c>
      <c r="C164" s="1" t="s">
        <v>284</v>
      </c>
      <c r="D164" s="1" t="s">
        <v>59</v>
      </c>
      <c r="E164" s="1" t="s">
        <v>64</v>
      </c>
      <c r="F164" s="1" t="s">
        <v>65</v>
      </c>
      <c r="G164" s="1" t="s">
        <v>42</v>
      </c>
      <c r="H164" s="1" t="s">
        <v>85</v>
      </c>
      <c r="I164" s="1" t="s">
        <v>67</v>
      </c>
      <c r="J164" s="1" t="s">
        <v>68</v>
      </c>
      <c r="K164" s="1" t="s">
        <v>35</v>
      </c>
      <c r="L164" s="1" t="s">
        <v>46</v>
      </c>
      <c r="M164" s="1" t="s">
        <v>36</v>
      </c>
    </row>
    <row r="165" spans="1:13" x14ac:dyDescent="0.3">
      <c r="A165" s="1" t="s">
        <v>437</v>
      </c>
      <c r="B165" s="1" t="s">
        <v>438</v>
      </c>
      <c r="C165" s="1" t="s">
        <v>371</v>
      </c>
      <c r="D165" s="1" t="s">
        <v>124</v>
      </c>
      <c r="E165" s="1" t="s">
        <v>72</v>
      </c>
      <c r="F165" s="1" t="s">
        <v>73</v>
      </c>
      <c r="G165" s="1" t="s">
        <v>74</v>
      </c>
      <c r="H165" s="1" t="s">
        <v>85</v>
      </c>
      <c r="I165" s="1" t="s">
        <v>75</v>
      </c>
      <c r="J165" s="1" t="s">
        <v>76</v>
      </c>
      <c r="K165" s="1" t="s">
        <v>114</v>
      </c>
      <c r="L165" s="1" t="s">
        <v>46</v>
      </c>
      <c r="M165" s="1" t="s">
        <v>36</v>
      </c>
    </row>
    <row r="166" spans="1:13" x14ac:dyDescent="0.3">
      <c r="A166" s="1" t="s">
        <v>439</v>
      </c>
      <c r="B166" s="1" t="s">
        <v>440</v>
      </c>
      <c r="C166" s="1" t="s">
        <v>111</v>
      </c>
      <c r="D166" s="1" t="s">
        <v>28</v>
      </c>
      <c r="E166" s="1" t="s">
        <v>106</v>
      </c>
      <c r="F166" s="1" t="s">
        <v>107</v>
      </c>
      <c r="G166" s="1" t="s">
        <v>368</v>
      </c>
      <c r="H166" s="1" t="s">
        <v>66</v>
      </c>
      <c r="I166" s="1" t="s">
        <v>34</v>
      </c>
      <c r="J166" s="1" t="s">
        <v>108</v>
      </c>
      <c r="K166" s="1" t="s">
        <v>20</v>
      </c>
      <c r="L166" s="1" t="s">
        <v>23</v>
      </c>
      <c r="M166" s="1" t="s">
        <v>36</v>
      </c>
    </row>
    <row r="167" spans="1:13" x14ac:dyDescent="0.3">
      <c r="A167" s="1" t="s">
        <v>441</v>
      </c>
      <c r="B167" s="1" t="s">
        <v>300</v>
      </c>
      <c r="C167" s="1" t="s">
        <v>327</v>
      </c>
      <c r="D167" s="1" t="s">
        <v>50</v>
      </c>
      <c r="E167" s="1" t="s">
        <v>17</v>
      </c>
      <c r="F167" s="1" t="s">
        <v>18</v>
      </c>
      <c r="G167" s="1" t="s">
        <v>74</v>
      </c>
      <c r="H167" s="1" t="s">
        <v>32</v>
      </c>
      <c r="I167" s="1" t="s">
        <v>80</v>
      </c>
      <c r="J167" s="1" t="s">
        <v>81</v>
      </c>
      <c r="K167" s="1" t="s">
        <v>114</v>
      </c>
      <c r="L167" s="1" t="s">
        <v>23</v>
      </c>
      <c r="M167" s="1" t="s">
        <v>36</v>
      </c>
    </row>
    <row r="168" spans="1:13" x14ac:dyDescent="0.3">
      <c r="A168" s="1" t="s">
        <v>442</v>
      </c>
      <c r="B168" s="1" t="s">
        <v>240</v>
      </c>
      <c r="C168" s="1" t="s">
        <v>15</v>
      </c>
      <c r="D168" s="1" t="s">
        <v>28</v>
      </c>
      <c r="E168" s="1" t="s">
        <v>51</v>
      </c>
      <c r="F168" s="1" t="s">
        <v>52</v>
      </c>
      <c r="G168" s="1" t="s">
        <v>42</v>
      </c>
      <c r="H168" s="1" t="s">
        <v>127</v>
      </c>
      <c r="I168" s="1" t="s">
        <v>54</v>
      </c>
      <c r="J168" s="1" t="s">
        <v>55</v>
      </c>
      <c r="K168" s="1" t="s">
        <v>35</v>
      </c>
      <c r="L168" s="1" t="s">
        <v>46</v>
      </c>
      <c r="M168" s="1" t="s">
        <v>36</v>
      </c>
    </row>
    <row r="169" spans="1:13" x14ac:dyDescent="0.3">
      <c r="A169" s="1" t="s">
        <v>443</v>
      </c>
      <c r="B169" s="1" t="s">
        <v>196</v>
      </c>
      <c r="C169" s="1" t="s">
        <v>333</v>
      </c>
      <c r="D169" s="1" t="s">
        <v>28</v>
      </c>
      <c r="E169" s="1" t="s">
        <v>72</v>
      </c>
      <c r="F169" s="1" t="s">
        <v>73</v>
      </c>
      <c r="G169" s="1" t="s">
        <v>74</v>
      </c>
      <c r="H169" s="1" t="s">
        <v>53</v>
      </c>
      <c r="I169" s="1" t="s">
        <v>75</v>
      </c>
      <c r="J169" s="1" t="s">
        <v>76</v>
      </c>
      <c r="K169" s="1" t="s">
        <v>20</v>
      </c>
      <c r="L169" s="1" t="s">
        <v>46</v>
      </c>
      <c r="M169" s="1" t="s">
        <v>36</v>
      </c>
    </row>
    <row r="170" spans="1:13" x14ac:dyDescent="0.3">
      <c r="A170" s="1" t="s">
        <v>444</v>
      </c>
      <c r="B170" s="1" t="s">
        <v>445</v>
      </c>
      <c r="C170" s="1" t="s">
        <v>446</v>
      </c>
      <c r="D170" s="1" t="s">
        <v>50</v>
      </c>
      <c r="E170" s="1" t="s">
        <v>89</v>
      </c>
      <c r="F170" s="1" t="s">
        <v>90</v>
      </c>
      <c r="G170" s="1" t="s">
        <v>74</v>
      </c>
      <c r="H170" s="1" t="s">
        <v>149</v>
      </c>
      <c r="I170" s="1" t="s">
        <v>92</v>
      </c>
      <c r="J170" s="1" t="s">
        <v>93</v>
      </c>
      <c r="K170" s="1" t="s">
        <v>114</v>
      </c>
      <c r="L170" s="1" t="s">
        <v>23</v>
      </c>
      <c r="M170" s="1" t="s">
        <v>36</v>
      </c>
    </row>
    <row r="171" spans="1:13" x14ac:dyDescent="0.3">
      <c r="A171" s="1" t="s">
        <v>447</v>
      </c>
      <c r="B171" s="1" t="s">
        <v>448</v>
      </c>
      <c r="C171" s="1" t="s">
        <v>232</v>
      </c>
      <c r="D171" s="1" t="s">
        <v>50</v>
      </c>
      <c r="E171" s="1" t="s">
        <v>29</v>
      </c>
      <c r="F171" s="1" t="s">
        <v>30</v>
      </c>
      <c r="G171" s="1" t="s">
        <v>31</v>
      </c>
      <c r="H171" s="1" t="s">
        <v>85</v>
      </c>
      <c r="I171" s="1" t="s">
        <v>33</v>
      </c>
      <c r="J171" s="1" t="s">
        <v>34</v>
      </c>
      <c r="K171" s="1" t="s">
        <v>35</v>
      </c>
      <c r="L171" s="1" t="s">
        <v>23</v>
      </c>
      <c r="M171" s="1" t="s">
        <v>36</v>
      </c>
    </row>
    <row r="172" spans="1:13" x14ac:dyDescent="0.3">
      <c r="A172" s="1" t="s">
        <v>449</v>
      </c>
      <c r="B172" s="1" t="s">
        <v>360</v>
      </c>
      <c r="C172" s="1" t="s">
        <v>222</v>
      </c>
      <c r="D172" s="1" t="s">
        <v>28</v>
      </c>
      <c r="E172" s="1" t="s">
        <v>17</v>
      </c>
      <c r="F172" s="1" t="s">
        <v>18</v>
      </c>
      <c r="G172" s="1" t="s">
        <v>74</v>
      </c>
      <c r="H172" s="1" t="s">
        <v>91</v>
      </c>
      <c r="I172" s="1" t="s">
        <v>80</v>
      </c>
      <c r="J172" s="1" t="s">
        <v>81</v>
      </c>
      <c r="K172" s="1" t="s">
        <v>35</v>
      </c>
      <c r="L172" s="1" t="s">
        <v>46</v>
      </c>
      <c r="M172" s="1" t="s">
        <v>36</v>
      </c>
    </row>
    <row r="173" spans="1:13" x14ac:dyDescent="0.3">
      <c r="A173" s="1" t="s">
        <v>450</v>
      </c>
      <c r="B173" s="1" t="s">
        <v>342</v>
      </c>
      <c r="C173" s="1" t="s">
        <v>451</v>
      </c>
      <c r="D173" s="1" t="s">
        <v>59</v>
      </c>
      <c r="E173" s="1" t="s">
        <v>51</v>
      </c>
      <c r="F173" s="1" t="s">
        <v>52</v>
      </c>
      <c r="G173" s="1" t="s">
        <v>42</v>
      </c>
      <c r="H173" s="1" t="s">
        <v>66</v>
      </c>
      <c r="I173" s="1" t="s">
        <v>54</v>
      </c>
      <c r="J173" s="1" t="s">
        <v>55</v>
      </c>
      <c r="K173" s="1" t="s">
        <v>35</v>
      </c>
      <c r="L173" s="1" t="s">
        <v>23</v>
      </c>
      <c r="M173" s="1" t="s">
        <v>36</v>
      </c>
    </row>
    <row r="174" spans="1:13" x14ac:dyDescent="0.3">
      <c r="A174" s="1" t="s">
        <v>452</v>
      </c>
      <c r="B174" s="1" t="s">
        <v>453</v>
      </c>
      <c r="C174" s="1" t="s">
        <v>454</v>
      </c>
      <c r="D174" s="1" t="s">
        <v>124</v>
      </c>
      <c r="E174" s="1" t="s">
        <v>106</v>
      </c>
      <c r="F174" s="1" t="s">
        <v>107</v>
      </c>
      <c r="G174" s="1" t="s">
        <v>31</v>
      </c>
      <c r="H174" s="1" t="s">
        <v>32</v>
      </c>
      <c r="I174" s="1" t="s">
        <v>34</v>
      </c>
      <c r="J174" s="1" t="s">
        <v>108</v>
      </c>
      <c r="K174" s="1" t="s">
        <v>60</v>
      </c>
      <c r="L174" s="1" t="s">
        <v>23</v>
      </c>
      <c r="M174" s="1" t="s">
        <v>36</v>
      </c>
    </row>
    <row r="175" spans="1:13" x14ac:dyDescent="0.3">
      <c r="A175" s="1" t="s">
        <v>455</v>
      </c>
      <c r="B175" s="1" t="s">
        <v>456</v>
      </c>
      <c r="C175" s="1" t="s">
        <v>305</v>
      </c>
      <c r="D175" s="1" t="s">
        <v>50</v>
      </c>
      <c r="E175" s="1" t="s">
        <v>17</v>
      </c>
      <c r="F175" s="1" t="s">
        <v>18</v>
      </c>
      <c r="G175" s="1" t="s">
        <v>74</v>
      </c>
      <c r="H175" s="1" t="s">
        <v>127</v>
      </c>
      <c r="I175" s="1" t="s">
        <v>80</v>
      </c>
      <c r="J175" s="1" t="s">
        <v>81</v>
      </c>
      <c r="K175" s="1" t="s">
        <v>114</v>
      </c>
      <c r="L175" s="1" t="s">
        <v>46</v>
      </c>
      <c r="M175" s="1" t="s">
        <v>36</v>
      </c>
    </row>
    <row r="176" spans="1:13" x14ac:dyDescent="0.3">
      <c r="A176" s="1" t="s">
        <v>457</v>
      </c>
      <c r="B176" s="1" t="s">
        <v>283</v>
      </c>
      <c r="C176" s="1" t="s">
        <v>232</v>
      </c>
      <c r="D176" s="1" t="s">
        <v>156</v>
      </c>
      <c r="E176" s="1" t="s">
        <v>40</v>
      </c>
      <c r="F176" s="1" t="s">
        <v>41</v>
      </c>
      <c r="G176" s="1" t="s">
        <v>42</v>
      </c>
      <c r="H176" s="1" t="s">
        <v>149</v>
      </c>
      <c r="I176" s="1" t="s">
        <v>44</v>
      </c>
      <c r="J176" s="1" t="s">
        <v>45</v>
      </c>
      <c r="K176" s="1" t="s">
        <v>60</v>
      </c>
      <c r="L176" s="1" t="s">
        <v>46</v>
      </c>
      <c r="M176" s="1" t="s">
        <v>36</v>
      </c>
    </row>
    <row r="177" spans="1:13" x14ac:dyDescent="0.3">
      <c r="A177" s="1" t="s">
        <v>458</v>
      </c>
      <c r="B177" s="1" t="s">
        <v>433</v>
      </c>
      <c r="C177" s="1" t="s">
        <v>175</v>
      </c>
      <c r="D177" s="1" t="s">
        <v>50</v>
      </c>
      <c r="E177" s="1" t="s">
        <v>29</v>
      </c>
      <c r="F177" s="1" t="s">
        <v>30</v>
      </c>
      <c r="G177" s="1" t="s">
        <v>31</v>
      </c>
      <c r="H177" s="1" t="s">
        <v>53</v>
      </c>
      <c r="I177" s="1" t="s">
        <v>33</v>
      </c>
      <c r="J177" s="1" t="s">
        <v>34</v>
      </c>
      <c r="K177" s="1" t="s">
        <v>114</v>
      </c>
      <c r="L177" s="1" t="s">
        <v>46</v>
      </c>
      <c r="M177" s="1" t="s">
        <v>36</v>
      </c>
    </row>
    <row r="178" spans="1:13" x14ac:dyDescent="0.3">
      <c r="A178" s="1" t="s">
        <v>459</v>
      </c>
      <c r="B178" s="1" t="s">
        <v>376</v>
      </c>
      <c r="C178" s="1" t="s">
        <v>454</v>
      </c>
      <c r="D178" s="1" t="s">
        <v>59</v>
      </c>
      <c r="E178" s="1" t="s">
        <v>89</v>
      </c>
      <c r="F178" s="1" t="s">
        <v>90</v>
      </c>
      <c r="G178" s="1" t="s">
        <v>74</v>
      </c>
      <c r="H178" s="1" t="s">
        <v>53</v>
      </c>
      <c r="I178" s="1" t="s">
        <v>92</v>
      </c>
      <c r="J178" s="1" t="s">
        <v>93</v>
      </c>
      <c r="K178" s="1" t="s">
        <v>114</v>
      </c>
      <c r="L178" s="1" t="s">
        <v>46</v>
      </c>
      <c r="M178" s="1" t="s">
        <v>36</v>
      </c>
    </row>
    <row r="179" spans="1:13" x14ac:dyDescent="0.3">
      <c r="A179" s="1" t="s">
        <v>460</v>
      </c>
      <c r="B179" s="1" t="s">
        <v>461</v>
      </c>
      <c r="C179" s="1" t="s">
        <v>462</v>
      </c>
      <c r="D179" s="1" t="s">
        <v>59</v>
      </c>
      <c r="E179" s="1" t="s">
        <v>40</v>
      </c>
      <c r="F179" s="1" t="s">
        <v>41</v>
      </c>
      <c r="G179" s="1" t="s">
        <v>42</v>
      </c>
      <c r="H179" s="1" t="s">
        <v>53</v>
      </c>
      <c r="I179" s="1" t="s">
        <v>44</v>
      </c>
      <c r="J179" s="1" t="s">
        <v>45</v>
      </c>
      <c r="K179" s="1" t="s">
        <v>20</v>
      </c>
      <c r="L179" s="1" t="s">
        <v>23</v>
      </c>
      <c r="M179" s="1" t="s">
        <v>36</v>
      </c>
    </row>
    <row r="180" spans="1:13" x14ac:dyDescent="0.3">
      <c r="A180" s="1" t="s">
        <v>463</v>
      </c>
      <c r="B180" s="1" t="s">
        <v>144</v>
      </c>
      <c r="C180" s="1" t="s">
        <v>425</v>
      </c>
      <c r="D180" s="1" t="s">
        <v>59</v>
      </c>
      <c r="E180" s="1" t="s">
        <v>72</v>
      </c>
      <c r="F180" s="1" t="s">
        <v>73</v>
      </c>
      <c r="G180" s="1" t="s">
        <v>74</v>
      </c>
      <c r="H180" s="1" t="s">
        <v>53</v>
      </c>
      <c r="I180" s="1" t="s">
        <v>75</v>
      </c>
      <c r="J180" s="1" t="s">
        <v>16</v>
      </c>
      <c r="K180" s="1" t="s">
        <v>114</v>
      </c>
      <c r="L180" s="1" t="s">
        <v>23</v>
      </c>
      <c r="M180" s="1" t="s">
        <v>36</v>
      </c>
    </row>
    <row r="181" spans="1:13" x14ac:dyDescent="0.3">
      <c r="A181" s="1" t="s">
        <v>464</v>
      </c>
      <c r="B181" s="1" t="s">
        <v>313</v>
      </c>
      <c r="C181" s="1" t="s">
        <v>194</v>
      </c>
      <c r="D181" s="1" t="s">
        <v>28</v>
      </c>
      <c r="E181" s="1" t="s">
        <v>40</v>
      </c>
      <c r="F181" s="1" t="s">
        <v>41</v>
      </c>
      <c r="G181" s="1" t="s">
        <v>42</v>
      </c>
      <c r="H181" s="1" t="s">
        <v>66</v>
      </c>
      <c r="I181" s="1" t="s">
        <v>44</v>
      </c>
      <c r="J181" s="1" t="s">
        <v>45</v>
      </c>
      <c r="K181" s="1" t="s">
        <v>35</v>
      </c>
      <c r="L181" s="1" t="s">
        <v>23</v>
      </c>
      <c r="M181" s="1" t="s">
        <v>36</v>
      </c>
    </row>
    <row r="182" spans="1:13" x14ac:dyDescent="0.3">
      <c r="A182" s="1" t="s">
        <v>465</v>
      </c>
      <c r="B182" s="1" t="s">
        <v>98</v>
      </c>
      <c r="C182" s="1" t="s">
        <v>216</v>
      </c>
      <c r="D182" s="1" t="s">
        <v>124</v>
      </c>
      <c r="E182" s="1" t="s">
        <v>29</v>
      </c>
      <c r="F182" s="1" t="s">
        <v>30</v>
      </c>
      <c r="G182" s="1" t="s">
        <v>31</v>
      </c>
      <c r="H182" s="1" t="s">
        <v>32</v>
      </c>
      <c r="I182" s="1" t="s">
        <v>33</v>
      </c>
      <c r="J182" s="1" t="s">
        <v>34</v>
      </c>
      <c r="K182" s="1" t="s">
        <v>60</v>
      </c>
      <c r="L182" s="1" t="s">
        <v>23</v>
      </c>
      <c r="M182" s="1" t="s">
        <v>36</v>
      </c>
    </row>
    <row r="183" spans="1:13" x14ac:dyDescent="0.3">
      <c r="A183" s="1" t="s">
        <v>466</v>
      </c>
      <c r="B183" s="1" t="s">
        <v>104</v>
      </c>
      <c r="C183" s="1" t="s">
        <v>120</v>
      </c>
      <c r="D183" s="1" t="s">
        <v>50</v>
      </c>
      <c r="E183" s="1" t="s">
        <v>64</v>
      </c>
      <c r="F183" s="1" t="s">
        <v>65</v>
      </c>
      <c r="G183" s="1" t="s">
        <v>42</v>
      </c>
      <c r="H183" s="1" t="s">
        <v>66</v>
      </c>
      <c r="I183" s="1" t="s">
        <v>67</v>
      </c>
      <c r="J183" s="1" t="s">
        <v>68</v>
      </c>
      <c r="K183" s="1" t="s">
        <v>35</v>
      </c>
      <c r="L183" s="1" t="s">
        <v>46</v>
      </c>
      <c r="M183" s="1" t="s">
        <v>36</v>
      </c>
    </row>
    <row r="184" spans="1:13" x14ac:dyDescent="0.3">
      <c r="A184" s="1" t="s">
        <v>467</v>
      </c>
      <c r="B184" s="1" t="s">
        <v>468</v>
      </c>
      <c r="C184" s="1" t="s">
        <v>305</v>
      </c>
      <c r="D184" s="1" t="s">
        <v>50</v>
      </c>
      <c r="E184" s="1" t="s">
        <v>40</v>
      </c>
      <c r="F184" s="1" t="s">
        <v>41</v>
      </c>
      <c r="G184" s="1" t="s">
        <v>42</v>
      </c>
      <c r="H184" s="1" t="s">
        <v>91</v>
      </c>
      <c r="I184" s="1" t="s">
        <v>44</v>
      </c>
      <c r="J184" s="1" t="s">
        <v>45</v>
      </c>
      <c r="K184" s="1" t="s">
        <v>35</v>
      </c>
      <c r="L184" s="1" t="s">
        <v>23</v>
      </c>
      <c r="M184" s="1" t="s">
        <v>172</v>
      </c>
    </row>
    <row r="185" spans="1:13" x14ac:dyDescent="0.3">
      <c r="A185" s="1" t="s">
        <v>469</v>
      </c>
      <c r="B185" s="1" t="s">
        <v>470</v>
      </c>
      <c r="C185" s="1" t="s">
        <v>145</v>
      </c>
      <c r="D185" s="1" t="s">
        <v>50</v>
      </c>
      <c r="E185" s="1" t="s">
        <v>64</v>
      </c>
      <c r="F185" s="1" t="s">
        <v>65</v>
      </c>
      <c r="G185" s="1" t="s">
        <v>42</v>
      </c>
      <c r="H185" s="1" t="s">
        <v>85</v>
      </c>
      <c r="I185" s="1" t="s">
        <v>67</v>
      </c>
      <c r="J185" s="1" t="s">
        <v>68</v>
      </c>
      <c r="K185" s="1" t="s">
        <v>60</v>
      </c>
      <c r="L185" s="1" t="s">
        <v>23</v>
      </c>
      <c r="M185" s="1" t="s">
        <v>36</v>
      </c>
    </row>
    <row r="186" spans="1:13" x14ac:dyDescent="0.3">
      <c r="A186" s="1" t="s">
        <v>471</v>
      </c>
      <c r="B186" s="1" t="s">
        <v>337</v>
      </c>
      <c r="C186" s="1" t="s">
        <v>96</v>
      </c>
      <c r="D186" s="1" t="s">
        <v>28</v>
      </c>
      <c r="E186" s="1" t="s">
        <v>89</v>
      </c>
      <c r="F186" s="1" t="s">
        <v>90</v>
      </c>
      <c r="G186" s="1" t="s">
        <v>74</v>
      </c>
      <c r="H186" s="1" t="s">
        <v>53</v>
      </c>
      <c r="I186" s="1" t="s">
        <v>92</v>
      </c>
      <c r="J186" s="1" t="s">
        <v>93</v>
      </c>
      <c r="K186" s="1" t="s">
        <v>20</v>
      </c>
      <c r="L186" s="1" t="s">
        <v>23</v>
      </c>
      <c r="M186" s="1" t="s">
        <v>36</v>
      </c>
    </row>
    <row r="187" spans="1:13" x14ac:dyDescent="0.3">
      <c r="A187" s="1" t="s">
        <v>472</v>
      </c>
      <c r="B187" s="1" t="s">
        <v>473</v>
      </c>
      <c r="C187" s="1" t="s">
        <v>148</v>
      </c>
      <c r="D187" s="1" t="s">
        <v>50</v>
      </c>
      <c r="E187" s="1" t="s">
        <v>40</v>
      </c>
      <c r="F187" s="1" t="s">
        <v>41</v>
      </c>
      <c r="G187" s="1" t="s">
        <v>42</v>
      </c>
      <c r="H187" s="1" t="s">
        <v>91</v>
      </c>
      <c r="I187" s="1" t="s">
        <v>44</v>
      </c>
      <c r="J187" s="1" t="s">
        <v>45</v>
      </c>
      <c r="K187" s="1" t="s">
        <v>114</v>
      </c>
      <c r="L187" s="1" t="s">
        <v>46</v>
      </c>
      <c r="M187" s="1" t="s">
        <v>36</v>
      </c>
    </row>
    <row r="188" spans="1:13" x14ac:dyDescent="0.3">
      <c r="A188" s="1" t="s">
        <v>474</v>
      </c>
      <c r="B188" s="1" t="s">
        <v>300</v>
      </c>
      <c r="C188" s="1" t="s">
        <v>475</v>
      </c>
      <c r="D188" s="1" t="s">
        <v>124</v>
      </c>
      <c r="E188" s="1" t="s">
        <v>106</v>
      </c>
      <c r="F188" s="1" t="s">
        <v>107</v>
      </c>
      <c r="G188" s="1" t="s">
        <v>31</v>
      </c>
      <c r="H188" s="1" t="s">
        <v>85</v>
      </c>
      <c r="I188" s="1" t="s">
        <v>34</v>
      </c>
      <c r="J188" s="1" t="s">
        <v>108</v>
      </c>
      <c r="K188" s="1" t="s">
        <v>60</v>
      </c>
      <c r="L188" s="1" t="s">
        <v>46</v>
      </c>
      <c r="M188" s="1" t="s">
        <v>36</v>
      </c>
    </row>
    <row r="189" spans="1:13" x14ac:dyDescent="0.3">
      <c r="A189" s="1" t="s">
        <v>476</v>
      </c>
      <c r="B189" s="1" t="s">
        <v>477</v>
      </c>
      <c r="C189" s="1" t="s">
        <v>478</v>
      </c>
      <c r="D189" s="1" t="s">
        <v>28</v>
      </c>
      <c r="E189" s="1" t="s">
        <v>29</v>
      </c>
      <c r="F189" s="1" t="s">
        <v>30</v>
      </c>
      <c r="G189" s="1" t="s">
        <v>31</v>
      </c>
      <c r="H189" s="1" t="s">
        <v>53</v>
      </c>
      <c r="I189" s="1" t="s">
        <v>33</v>
      </c>
      <c r="J189" s="1" t="s">
        <v>34</v>
      </c>
      <c r="K189" s="1" t="s">
        <v>35</v>
      </c>
      <c r="L189" s="1" t="s">
        <v>46</v>
      </c>
      <c r="M189" s="1" t="s">
        <v>36</v>
      </c>
    </row>
    <row r="190" spans="1:13" x14ac:dyDescent="0.3">
      <c r="A190" s="1" t="s">
        <v>479</v>
      </c>
      <c r="B190" s="1" t="s">
        <v>480</v>
      </c>
      <c r="C190" s="1" t="s">
        <v>481</v>
      </c>
      <c r="D190" s="1" t="s">
        <v>28</v>
      </c>
      <c r="E190" s="1" t="s">
        <v>64</v>
      </c>
      <c r="F190" s="1" t="s">
        <v>65</v>
      </c>
      <c r="G190" s="1" t="s">
        <v>42</v>
      </c>
      <c r="H190" s="1" t="s">
        <v>66</v>
      </c>
      <c r="I190" s="1" t="s">
        <v>67</v>
      </c>
      <c r="J190" s="1" t="s">
        <v>68</v>
      </c>
      <c r="K190" s="1" t="s">
        <v>206</v>
      </c>
      <c r="L190" s="1" t="s">
        <v>23</v>
      </c>
      <c r="M190" s="1" t="s">
        <v>36</v>
      </c>
    </row>
    <row r="191" spans="1:13" x14ac:dyDescent="0.3">
      <c r="A191" s="1" t="s">
        <v>482</v>
      </c>
      <c r="B191" s="1" t="s">
        <v>483</v>
      </c>
      <c r="C191" s="1" t="s">
        <v>222</v>
      </c>
      <c r="D191" s="1" t="s">
        <v>124</v>
      </c>
      <c r="E191" s="1" t="s">
        <v>51</v>
      </c>
      <c r="F191" s="1" t="s">
        <v>52</v>
      </c>
      <c r="G191" s="1" t="s">
        <v>42</v>
      </c>
      <c r="H191" s="1" t="s">
        <v>43</v>
      </c>
      <c r="I191" s="1" t="s">
        <v>54</v>
      </c>
      <c r="J191" s="1" t="s">
        <v>55</v>
      </c>
      <c r="K191" s="1" t="s">
        <v>60</v>
      </c>
      <c r="L191" s="1" t="s">
        <v>46</v>
      </c>
      <c r="M191" s="1" t="s">
        <v>36</v>
      </c>
    </row>
    <row r="192" spans="1:13" x14ac:dyDescent="0.3">
      <c r="A192" s="1" t="s">
        <v>484</v>
      </c>
      <c r="B192" s="1" t="s">
        <v>98</v>
      </c>
      <c r="C192" s="1" t="s">
        <v>446</v>
      </c>
      <c r="D192" s="1" t="s">
        <v>28</v>
      </c>
      <c r="E192" s="1" t="s">
        <v>72</v>
      </c>
      <c r="F192" s="1" t="s">
        <v>73</v>
      </c>
      <c r="G192" s="1" t="s">
        <v>74</v>
      </c>
      <c r="H192" s="1" t="s">
        <v>32</v>
      </c>
      <c r="I192" s="1" t="s">
        <v>75</v>
      </c>
      <c r="J192" s="1" t="s">
        <v>76</v>
      </c>
      <c r="K192" s="1" t="s">
        <v>114</v>
      </c>
      <c r="L192" s="1" t="s">
        <v>23</v>
      </c>
      <c r="M192" s="1" t="s">
        <v>172</v>
      </c>
    </row>
    <row r="193" spans="1:13" x14ac:dyDescent="0.3">
      <c r="A193" s="1" t="s">
        <v>485</v>
      </c>
      <c r="B193" s="1" t="s">
        <v>486</v>
      </c>
      <c r="C193" s="1" t="s">
        <v>371</v>
      </c>
      <c r="D193" s="1" t="s">
        <v>28</v>
      </c>
      <c r="E193" s="1" t="s">
        <v>89</v>
      </c>
      <c r="F193" s="1" t="s">
        <v>90</v>
      </c>
      <c r="G193" s="1" t="s">
        <v>74</v>
      </c>
      <c r="H193" s="1" t="s">
        <v>91</v>
      </c>
      <c r="I193" s="1" t="s">
        <v>92</v>
      </c>
      <c r="J193" s="1" t="s">
        <v>93</v>
      </c>
      <c r="K193" s="1" t="s">
        <v>20</v>
      </c>
      <c r="L193" s="1" t="s">
        <v>46</v>
      </c>
      <c r="M193" s="1" t="s">
        <v>36</v>
      </c>
    </row>
    <row r="194" spans="1:13" x14ac:dyDescent="0.3">
      <c r="A194" s="1" t="s">
        <v>487</v>
      </c>
      <c r="B194" s="1" t="s">
        <v>429</v>
      </c>
      <c r="C194" s="1" t="s">
        <v>345</v>
      </c>
      <c r="D194" s="1" t="s">
        <v>124</v>
      </c>
      <c r="E194" s="1" t="s">
        <v>17</v>
      </c>
      <c r="F194" s="1" t="s">
        <v>18</v>
      </c>
      <c r="G194" s="1" t="s">
        <v>74</v>
      </c>
      <c r="H194" s="1" t="s">
        <v>32</v>
      </c>
      <c r="I194" s="1" t="s">
        <v>80</v>
      </c>
      <c r="J194" s="1" t="s">
        <v>81</v>
      </c>
      <c r="K194" s="1" t="s">
        <v>35</v>
      </c>
      <c r="L194" s="1" t="s">
        <v>23</v>
      </c>
      <c r="M194" s="1" t="s">
        <v>36</v>
      </c>
    </row>
    <row r="195" spans="1:13" x14ac:dyDescent="0.3">
      <c r="A195" s="1" t="s">
        <v>488</v>
      </c>
      <c r="B195" s="1" t="s">
        <v>376</v>
      </c>
      <c r="C195" s="1" t="s">
        <v>148</v>
      </c>
      <c r="D195" s="1" t="s">
        <v>28</v>
      </c>
      <c r="E195" s="1" t="s">
        <v>64</v>
      </c>
      <c r="F195" s="1" t="s">
        <v>65</v>
      </c>
      <c r="G195" s="1" t="s">
        <v>42</v>
      </c>
      <c r="H195" s="1" t="s">
        <v>53</v>
      </c>
      <c r="I195" s="1" t="s">
        <v>67</v>
      </c>
      <c r="J195" s="1" t="s">
        <v>68</v>
      </c>
      <c r="K195" s="1" t="s">
        <v>20</v>
      </c>
      <c r="L195" s="1" t="s">
        <v>23</v>
      </c>
      <c r="M195" s="1" t="s">
        <v>36</v>
      </c>
    </row>
    <row r="196" spans="1:13" x14ac:dyDescent="0.3">
      <c r="A196" s="1" t="s">
        <v>489</v>
      </c>
      <c r="B196" s="1" t="s">
        <v>490</v>
      </c>
      <c r="C196" s="1" t="s">
        <v>111</v>
      </c>
      <c r="D196" s="1" t="s">
        <v>28</v>
      </c>
      <c r="E196" s="1" t="s">
        <v>106</v>
      </c>
      <c r="F196" s="1" t="s">
        <v>107</v>
      </c>
      <c r="G196" s="1" t="s">
        <v>31</v>
      </c>
      <c r="H196" s="1" t="s">
        <v>20</v>
      </c>
      <c r="I196" s="1" t="s">
        <v>34</v>
      </c>
      <c r="J196" s="1" t="s">
        <v>108</v>
      </c>
      <c r="K196" s="1" t="s">
        <v>114</v>
      </c>
      <c r="L196" s="1" t="s">
        <v>46</v>
      </c>
      <c r="M196" s="1" t="s">
        <v>36</v>
      </c>
    </row>
    <row r="197" spans="1:13" x14ac:dyDescent="0.3">
      <c r="A197" s="1" t="s">
        <v>491</v>
      </c>
      <c r="B197" s="1" t="s">
        <v>470</v>
      </c>
      <c r="C197" s="1" t="s">
        <v>185</v>
      </c>
      <c r="D197" s="1" t="s">
        <v>59</v>
      </c>
      <c r="E197" s="1" t="s">
        <v>72</v>
      </c>
      <c r="F197" s="1" t="s">
        <v>73</v>
      </c>
      <c r="G197" s="1" t="s">
        <v>74</v>
      </c>
      <c r="H197" s="1" t="s">
        <v>127</v>
      </c>
      <c r="I197" s="1" t="s">
        <v>75</v>
      </c>
      <c r="J197" s="1" t="s">
        <v>76</v>
      </c>
      <c r="K197" s="1" t="s">
        <v>20</v>
      </c>
      <c r="L197" s="1" t="s">
        <v>23</v>
      </c>
      <c r="M197" s="1" t="s">
        <v>36</v>
      </c>
    </row>
    <row r="198" spans="1:13" x14ac:dyDescent="0.3">
      <c r="A198" s="1" t="s">
        <v>492</v>
      </c>
      <c r="B198" s="1" t="s">
        <v>129</v>
      </c>
      <c r="C198" s="1" t="s">
        <v>243</v>
      </c>
      <c r="D198" s="1" t="s">
        <v>28</v>
      </c>
      <c r="E198" s="1" t="s">
        <v>89</v>
      </c>
      <c r="F198" s="1" t="s">
        <v>90</v>
      </c>
      <c r="G198" s="1" t="s">
        <v>74</v>
      </c>
      <c r="H198" s="1" t="s">
        <v>149</v>
      </c>
      <c r="I198" s="1" t="s">
        <v>92</v>
      </c>
      <c r="J198" s="1" t="s">
        <v>93</v>
      </c>
      <c r="K198" s="1" t="s">
        <v>114</v>
      </c>
      <c r="L198" s="1" t="s">
        <v>46</v>
      </c>
      <c r="M198" s="1" t="s">
        <v>36</v>
      </c>
    </row>
    <row r="199" spans="1:13" x14ac:dyDescent="0.3">
      <c r="A199" s="1" t="s">
        <v>493</v>
      </c>
      <c r="B199" s="1" t="s">
        <v>281</v>
      </c>
      <c r="C199" s="1" t="s">
        <v>71</v>
      </c>
      <c r="D199" s="1" t="s">
        <v>50</v>
      </c>
      <c r="E199" s="1" t="s">
        <v>40</v>
      </c>
      <c r="F199" s="1" t="s">
        <v>41</v>
      </c>
      <c r="G199" s="1" t="s">
        <v>42</v>
      </c>
      <c r="H199" s="1" t="s">
        <v>85</v>
      </c>
      <c r="I199" s="1" t="s">
        <v>44</v>
      </c>
      <c r="J199" s="1" t="s">
        <v>45</v>
      </c>
      <c r="K199" s="1" t="s">
        <v>60</v>
      </c>
      <c r="L199" s="1" t="s">
        <v>23</v>
      </c>
      <c r="M199" s="1" t="s">
        <v>36</v>
      </c>
    </row>
    <row r="200" spans="1:13" x14ac:dyDescent="0.3">
      <c r="A200" s="1" t="s">
        <v>494</v>
      </c>
      <c r="B200" s="1" t="s">
        <v>480</v>
      </c>
      <c r="C200" s="1" t="s">
        <v>495</v>
      </c>
      <c r="D200" s="1" t="s">
        <v>28</v>
      </c>
      <c r="E200" s="1" t="s">
        <v>72</v>
      </c>
      <c r="F200" s="1" t="s">
        <v>73</v>
      </c>
      <c r="G200" s="1" t="s">
        <v>74</v>
      </c>
      <c r="H200" s="1" t="s">
        <v>149</v>
      </c>
      <c r="I200" s="1" t="s">
        <v>75</v>
      </c>
      <c r="J200" s="1" t="s">
        <v>76</v>
      </c>
      <c r="K200" s="1" t="s">
        <v>60</v>
      </c>
      <c r="L200" s="1" t="s">
        <v>46</v>
      </c>
      <c r="M200" s="1" t="s">
        <v>36</v>
      </c>
    </row>
    <row r="201" spans="1:13" x14ac:dyDescent="0.3">
      <c r="A201" s="1" t="s">
        <v>496</v>
      </c>
      <c r="B201" s="1" t="s">
        <v>83</v>
      </c>
      <c r="C201" s="1" t="s">
        <v>497</v>
      </c>
      <c r="D201" s="1" t="s">
        <v>124</v>
      </c>
      <c r="E201" s="1" t="s">
        <v>17</v>
      </c>
      <c r="F201" s="1" t="s">
        <v>18</v>
      </c>
      <c r="G201" s="1" t="s">
        <v>74</v>
      </c>
      <c r="H201" s="1" t="s">
        <v>32</v>
      </c>
      <c r="I201" s="1" t="s">
        <v>80</v>
      </c>
      <c r="J201" s="1" t="s">
        <v>81</v>
      </c>
      <c r="K201" s="1" t="s">
        <v>114</v>
      </c>
      <c r="L201" s="1" t="s">
        <v>46</v>
      </c>
      <c r="M201" s="1" t="s">
        <v>36</v>
      </c>
    </row>
    <row r="202" spans="1:13" x14ac:dyDescent="0.3">
      <c r="A202" s="1" t="s">
        <v>498</v>
      </c>
      <c r="B202" s="1" t="s">
        <v>116</v>
      </c>
      <c r="C202" s="1" t="s">
        <v>251</v>
      </c>
      <c r="D202" s="1" t="s">
        <v>59</v>
      </c>
      <c r="E202" s="1" t="s">
        <v>106</v>
      </c>
      <c r="F202" s="1" t="s">
        <v>107</v>
      </c>
      <c r="G202" s="1" t="s">
        <v>31</v>
      </c>
      <c r="H202" s="1" t="s">
        <v>127</v>
      </c>
      <c r="I202" s="1" t="s">
        <v>34</v>
      </c>
      <c r="J202" s="1" t="s">
        <v>108</v>
      </c>
      <c r="K202" s="1" t="s">
        <v>114</v>
      </c>
      <c r="L202" s="1" t="s">
        <v>46</v>
      </c>
      <c r="M202" s="1" t="s">
        <v>36</v>
      </c>
    </row>
    <row r="203" spans="1:13" x14ac:dyDescent="0.3">
      <c r="A203" s="1" t="s">
        <v>499</v>
      </c>
      <c r="B203" s="1" t="s">
        <v>500</v>
      </c>
      <c r="C203" s="1" t="s">
        <v>273</v>
      </c>
      <c r="D203" s="1" t="s">
        <v>28</v>
      </c>
      <c r="E203" s="1" t="s">
        <v>106</v>
      </c>
      <c r="F203" s="1" t="s">
        <v>107</v>
      </c>
      <c r="G203" s="1" t="s">
        <v>31</v>
      </c>
      <c r="H203" s="1" t="s">
        <v>127</v>
      </c>
      <c r="I203" s="1" t="s">
        <v>34</v>
      </c>
      <c r="J203" s="1" t="s">
        <v>108</v>
      </c>
      <c r="K203" s="1" t="s">
        <v>60</v>
      </c>
      <c r="L203" s="1" t="s">
        <v>23</v>
      </c>
      <c r="M203" s="1" t="s">
        <v>24</v>
      </c>
    </row>
    <row r="204" spans="1:13" x14ac:dyDescent="0.3">
      <c r="A204" s="1" t="s">
        <v>501</v>
      </c>
      <c r="B204" s="1" t="s">
        <v>438</v>
      </c>
      <c r="C204" s="1" t="s">
        <v>295</v>
      </c>
      <c r="D204" s="1" t="s">
        <v>124</v>
      </c>
      <c r="E204" s="1" t="s">
        <v>72</v>
      </c>
      <c r="F204" s="1" t="s">
        <v>73</v>
      </c>
      <c r="G204" s="1" t="s">
        <v>74</v>
      </c>
      <c r="H204" s="1" t="s">
        <v>43</v>
      </c>
      <c r="I204" s="1" t="s">
        <v>75</v>
      </c>
      <c r="J204" s="1" t="s">
        <v>76</v>
      </c>
      <c r="K204" s="1" t="s">
        <v>60</v>
      </c>
      <c r="L204" s="1" t="s">
        <v>23</v>
      </c>
      <c r="M204" s="1" t="s">
        <v>36</v>
      </c>
    </row>
    <row r="205" spans="1:13" x14ac:dyDescent="0.3">
      <c r="A205" s="1" t="s">
        <v>502</v>
      </c>
      <c r="B205" s="1" t="s">
        <v>250</v>
      </c>
      <c r="C205" s="1" t="s">
        <v>58</v>
      </c>
      <c r="D205" s="1" t="s">
        <v>503</v>
      </c>
      <c r="E205" s="1" t="s">
        <v>89</v>
      </c>
      <c r="F205" s="1" t="s">
        <v>90</v>
      </c>
      <c r="G205" s="1" t="s">
        <v>74</v>
      </c>
      <c r="H205" s="1" t="s">
        <v>53</v>
      </c>
      <c r="I205" s="1" t="s">
        <v>92</v>
      </c>
      <c r="J205" s="1" t="s">
        <v>93</v>
      </c>
      <c r="K205" s="1" t="s">
        <v>20</v>
      </c>
      <c r="L205" s="1" t="s">
        <v>23</v>
      </c>
      <c r="M205" s="1" t="s">
        <v>36</v>
      </c>
    </row>
    <row r="206" spans="1:13" x14ac:dyDescent="0.3">
      <c r="A206" s="1" t="s">
        <v>504</v>
      </c>
      <c r="B206" s="1" t="s">
        <v>131</v>
      </c>
      <c r="C206" s="1" t="s">
        <v>140</v>
      </c>
      <c r="D206" s="1" t="s">
        <v>59</v>
      </c>
      <c r="E206" s="1" t="s">
        <v>72</v>
      </c>
      <c r="F206" s="1" t="s">
        <v>73</v>
      </c>
      <c r="G206" s="1" t="s">
        <v>74</v>
      </c>
      <c r="H206" s="1" t="s">
        <v>149</v>
      </c>
      <c r="I206" s="1" t="s">
        <v>75</v>
      </c>
      <c r="J206" s="1" t="s">
        <v>76</v>
      </c>
      <c r="K206" s="1" t="s">
        <v>60</v>
      </c>
      <c r="L206" s="1" t="s">
        <v>23</v>
      </c>
      <c r="M206" s="1" t="s">
        <v>36</v>
      </c>
    </row>
    <row r="207" spans="1:13" x14ac:dyDescent="0.3">
      <c r="A207" s="1" t="s">
        <v>505</v>
      </c>
      <c r="B207" s="1" t="s">
        <v>506</v>
      </c>
      <c r="C207" s="1" t="s">
        <v>105</v>
      </c>
      <c r="D207" s="1" t="s">
        <v>124</v>
      </c>
      <c r="E207" s="1" t="s">
        <v>40</v>
      </c>
      <c r="F207" s="1" t="s">
        <v>41</v>
      </c>
      <c r="G207" s="1" t="s">
        <v>188</v>
      </c>
      <c r="H207" s="1" t="s">
        <v>149</v>
      </c>
      <c r="I207" s="1" t="s">
        <v>44</v>
      </c>
      <c r="J207" s="1" t="s">
        <v>45</v>
      </c>
      <c r="K207" s="1" t="s">
        <v>35</v>
      </c>
      <c r="L207" s="1" t="s">
        <v>23</v>
      </c>
      <c r="M207" s="1" t="s">
        <v>36</v>
      </c>
    </row>
    <row r="208" spans="1:13" x14ac:dyDescent="0.3">
      <c r="A208" s="1" t="s">
        <v>507</v>
      </c>
      <c r="B208" s="1" t="s">
        <v>508</v>
      </c>
      <c r="C208" s="1" t="s">
        <v>145</v>
      </c>
      <c r="D208" s="1" t="s">
        <v>124</v>
      </c>
      <c r="E208" s="1" t="s">
        <v>72</v>
      </c>
      <c r="F208" s="1" t="s">
        <v>73</v>
      </c>
      <c r="G208" s="1" t="s">
        <v>74</v>
      </c>
      <c r="H208" s="1" t="s">
        <v>85</v>
      </c>
      <c r="I208" s="1" t="s">
        <v>75</v>
      </c>
      <c r="J208" s="1" t="s">
        <v>76</v>
      </c>
      <c r="K208" s="1" t="s">
        <v>114</v>
      </c>
      <c r="L208" s="1" t="s">
        <v>23</v>
      </c>
      <c r="M208" s="1" t="s">
        <v>36</v>
      </c>
    </row>
    <row r="209" spans="1:13" x14ac:dyDescent="0.3">
      <c r="A209" s="1" t="s">
        <v>509</v>
      </c>
      <c r="B209" s="1" t="s">
        <v>510</v>
      </c>
      <c r="C209" s="1" t="s">
        <v>273</v>
      </c>
      <c r="D209" s="1" t="s">
        <v>124</v>
      </c>
      <c r="E209" s="1" t="s">
        <v>72</v>
      </c>
      <c r="F209" s="1" t="s">
        <v>73</v>
      </c>
      <c r="G209" s="1" t="s">
        <v>74</v>
      </c>
      <c r="H209" s="1" t="s">
        <v>91</v>
      </c>
      <c r="I209" s="1" t="s">
        <v>75</v>
      </c>
      <c r="J209" s="1" t="s">
        <v>76</v>
      </c>
      <c r="K209" s="1" t="s">
        <v>114</v>
      </c>
      <c r="L209" s="1" t="s">
        <v>46</v>
      </c>
      <c r="M209" s="1" t="s">
        <v>36</v>
      </c>
    </row>
    <row r="210" spans="1:13" x14ac:dyDescent="0.3">
      <c r="A210" s="1" t="s">
        <v>511</v>
      </c>
      <c r="B210" s="1" t="s">
        <v>461</v>
      </c>
      <c r="C210" s="1" t="s">
        <v>478</v>
      </c>
      <c r="D210" s="1" t="s">
        <v>50</v>
      </c>
      <c r="E210" s="1" t="s">
        <v>64</v>
      </c>
      <c r="F210" s="1" t="s">
        <v>65</v>
      </c>
      <c r="G210" s="1" t="s">
        <v>42</v>
      </c>
      <c r="H210" s="1" t="s">
        <v>43</v>
      </c>
      <c r="I210" s="1" t="s">
        <v>67</v>
      </c>
      <c r="J210" s="1" t="s">
        <v>68</v>
      </c>
      <c r="K210" s="1" t="s">
        <v>35</v>
      </c>
      <c r="L210" s="1" t="s">
        <v>46</v>
      </c>
      <c r="M210" s="1" t="s">
        <v>36</v>
      </c>
    </row>
    <row r="211" spans="1:13" x14ac:dyDescent="0.3">
      <c r="A211" s="1" t="s">
        <v>512</v>
      </c>
      <c r="B211" s="1" t="s">
        <v>304</v>
      </c>
      <c r="C211" s="1" t="s">
        <v>513</v>
      </c>
      <c r="D211" s="1" t="s">
        <v>28</v>
      </c>
      <c r="E211" s="1" t="s">
        <v>51</v>
      </c>
      <c r="F211" s="1" t="s">
        <v>52</v>
      </c>
      <c r="G211" s="1" t="s">
        <v>42</v>
      </c>
      <c r="H211" s="1" t="s">
        <v>149</v>
      </c>
      <c r="I211" s="1" t="s">
        <v>54</v>
      </c>
      <c r="J211" s="1" t="s">
        <v>55</v>
      </c>
      <c r="K211" s="1" t="s">
        <v>60</v>
      </c>
      <c r="L211" s="1" t="s">
        <v>46</v>
      </c>
      <c r="M211" s="1" t="s">
        <v>36</v>
      </c>
    </row>
    <row r="212" spans="1:13" x14ac:dyDescent="0.3">
      <c r="A212" s="1" t="s">
        <v>514</v>
      </c>
      <c r="B212" s="1" t="s">
        <v>403</v>
      </c>
      <c r="C212" s="1" t="s">
        <v>382</v>
      </c>
      <c r="D212" s="1" t="s">
        <v>124</v>
      </c>
      <c r="E212" s="1" t="s">
        <v>40</v>
      </c>
      <c r="F212" s="1" t="s">
        <v>41</v>
      </c>
      <c r="G212" s="1" t="s">
        <v>42</v>
      </c>
      <c r="H212" s="1" t="s">
        <v>32</v>
      </c>
      <c r="I212" s="1" t="s">
        <v>44</v>
      </c>
      <c r="J212" s="1" t="s">
        <v>45</v>
      </c>
      <c r="K212" s="1" t="s">
        <v>60</v>
      </c>
      <c r="L212" s="1" t="s">
        <v>46</v>
      </c>
      <c r="M212" s="1" t="s">
        <v>36</v>
      </c>
    </row>
    <row r="213" spans="1:13" x14ac:dyDescent="0.3">
      <c r="A213" s="1" t="s">
        <v>515</v>
      </c>
      <c r="B213" s="1" t="s">
        <v>516</v>
      </c>
      <c r="C213" s="1" t="s">
        <v>333</v>
      </c>
      <c r="D213" s="1" t="s">
        <v>50</v>
      </c>
      <c r="E213" s="1" t="s">
        <v>40</v>
      </c>
      <c r="F213" s="1" t="s">
        <v>41</v>
      </c>
      <c r="G213" s="1" t="s">
        <v>42</v>
      </c>
      <c r="H213" s="1" t="s">
        <v>85</v>
      </c>
      <c r="I213" s="1" t="s">
        <v>44</v>
      </c>
      <c r="J213" s="1" t="s">
        <v>45</v>
      </c>
      <c r="K213" s="1" t="s">
        <v>20</v>
      </c>
      <c r="L213" s="1" t="s">
        <v>46</v>
      </c>
      <c r="M213" s="1" t="s">
        <v>36</v>
      </c>
    </row>
    <row r="214" spans="1:13" x14ac:dyDescent="0.3">
      <c r="A214" s="1" t="s">
        <v>517</v>
      </c>
      <c r="B214" s="1" t="s">
        <v>335</v>
      </c>
      <c r="C214" s="1" t="s">
        <v>475</v>
      </c>
      <c r="D214" s="1" t="s">
        <v>50</v>
      </c>
      <c r="E214" s="1" t="s">
        <v>17</v>
      </c>
      <c r="F214" s="1" t="s">
        <v>18</v>
      </c>
      <c r="G214" s="1" t="s">
        <v>74</v>
      </c>
      <c r="H214" s="1" t="s">
        <v>32</v>
      </c>
      <c r="I214" s="1" t="s">
        <v>21</v>
      </c>
      <c r="J214" s="1" t="s">
        <v>81</v>
      </c>
      <c r="K214" s="1" t="s">
        <v>20</v>
      </c>
      <c r="L214" s="1" t="s">
        <v>46</v>
      </c>
      <c r="M214" s="1" t="s">
        <v>36</v>
      </c>
    </row>
    <row r="215" spans="1:13" x14ac:dyDescent="0.3">
      <c r="A215" s="1" t="s">
        <v>518</v>
      </c>
      <c r="B215" s="1" t="s">
        <v>110</v>
      </c>
      <c r="C215" s="1" t="s">
        <v>475</v>
      </c>
      <c r="D215" s="1" t="s">
        <v>16</v>
      </c>
      <c r="E215" s="1" t="s">
        <v>89</v>
      </c>
      <c r="F215" s="1" t="s">
        <v>90</v>
      </c>
      <c r="G215" s="1" t="s">
        <v>74</v>
      </c>
      <c r="H215" s="1" t="s">
        <v>127</v>
      </c>
      <c r="I215" s="1" t="s">
        <v>92</v>
      </c>
      <c r="J215" s="1" t="s">
        <v>93</v>
      </c>
      <c r="K215" s="1" t="s">
        <v>114</v>
      </c>
      <c r="L215" s="1" t="s">
        <v>23</v>
      </c>
      <c r="M215" s="1" t="s">
        <v>36</v>
      </c>
    </row>
    <row r="216" spans="1:13" x14ac:dyDescent="0.3">
      <c r="A216" s="1" t="s">
        <v>519</v>
      </c>
      <c r="B216" s="1" t="s">
        <v>520</v>
      </c>
      <c r="C216" s="1" t="s">
        <v>137</v>
      </c>
      <c r="D216" s="1" t="s">
        <v>28</v>
      </c>
      <c r="E216" s="1" t="s">
        <v>72</v>
      </c>
      <c r="F216" s="1" t="s">
        <v>73</v>
      </c>
      <c r="G216" s="1" t="s">
        <v>74</v>
      </c>
      <c r="H216" s="1" t="s">
        <v>149</v>
      </c>
      <c r="I216" s="1" t="s">
        <v>75</v>
      </c>
      <c r="J216" s="1" t="s">
        <v>76</v>
      </c>
      <c r="K216" s="1" t="s">
        <v>20</v>
      </c>
      <c r="L216" s="1" t="s">
        <v>46</v>
      </c>
      <c r="M216" s="1" t="s">
        <v>36</v>
      </c>
    </row>
    <row r="217" spans="1:13" x14ac:dyDescent="0.3">
      <c r="A217" s="1" t="s">
        <v>521</v>
      </c>
      <c r="B217" s="1" t="s">
        <v>337</v>
      </c>
      <c r="C217" s="1" t="s">
        <v>425</v>
      </c>
      <c r="D217" s="1" t="s">
        <v>28</v>
      </c>
      <c r="E217" s="1" t="s">
        <v>64</v>
      </c>
      <c r="F217" s="1" t="s">
        <v>65</v>
      </c>
      <c r="G217" s="1" t="s">
        <v>42</v>
      </c>
      <c r="H217" s="1" t="s">
        <v>149</v>
      </c>
      <c r="I217" s="1" t="s">
        <v>67</v>
      </c>
      <c r="J217" s="1" t="s">
        <v>68</v>
      </c>
      <c r="K217" s="1" t="s">
        <v>20</v>
      </c>
      <c r="L217" s="1" t="s">
        <v>23</v>
      </c>
      <c r="M217" s="1" t="s">
        <v>36</v>
      </c>
    </row>
    <row r="218" spans="1:13" x14ac:dyDescent="0.3">
      <c r="A218" s="1" t="s">
        <v>522</v>
      </c>
      <c r="B218" s="1" t="s">
        <v>262</v>
      </c>
      <c r="C218" s="1" t="s">
        <v>271</v>
      </c>
      <c r="D218" s="1" t="s">
        <v>50</v>
      </c>
      <c r="E218" s="1" t="s">
        <v>40</v>
      </c>
      <c r="F218" s="1" t="s">
        <v>41</v>
      </c>
      <c r="G218" s="1" t="s">
        <v>42</v>
      </c>
      <c r="H218" s="1" t="s">
        <v>43</v>
      </c>
      <c r="I218" s="1" t="s">
        <v>44</v>
      </c>
      <c r="J218" s="1" t="s">
        <v>45</v>
      </c>
      <c r="K218" s="1" t="s">
        <v>60</v>
      </c>
      <c r="L218" s="1" t="s">
        <v>23</v>
      </c>
      <c r="M218" s="1" t="s">
        <v>36</v>
      </c>
    </row>
    <row r="219" spans="1:13" x14ac:dyDescent="0.3">
      <c r="A219" s="1" t="s">
        <v>523</v>
      </c>
      <c r="B219" s="1" t="s">
        <v>524</v>
      </c>
      <c r="C219" s="1" t="s">
        <v>318</v>
      </c>
      <c r="D219" s="1" t="s">
        <v>124</v>
      </c>
      <c r="E219" s="1" t="s">
        <v>29</v>
      </c>
      <c r="F219" s="1" t="s">
        <v>30</v>
      </c>
      <c r="G219" s="1" t="s">
        <v>31</v>
      </c>
      <c r="H219" s="1" t="s">
        <v>66</v>
      </c>
      <c r="I219" s="1" t="s">
        <v>33</v>
      </c>
      <c r="J219" s="1" t="s">
        <v>34</v>
      </c>
      <c r="K219" s="1" t="s">
        <v>20</v>
      </c>
      <c r="L219" s="1" t="s">
        <v>23</v>
      </c>
      <c r="M219" s="1" t="s">
        <v>36</v>
      </c>
    </row>
    <row r="220" spans="1:13" x14ac:dyDescent="0.3">
      <c r="A220" s="1" t="s">
        <v>525</v>
      </c>
      <c r="B220" s="1" t="s">
        <v>337</v>
      </c>
      <c r="C220" s="1" t="s">
        <v>295</v>
      </c>
      <c r="D220" s="1" t="s">
        <v>124</v>
      </c>
      <c r="E220" s="1" t="s">
        <v>64</v>
      </c>
      <c r="F220" s="1" t="s">
        <v>65</v>
      </c>
      <c r="G220" s="1" t="s">
        <v>42</v>
      </c>
      <c r="H220" s="1" t="s">
        <v>43</v>
      </c>
      <c r="I220" s="1" t="s">
        <v>67</v>
      </c>
      <c r="J220" s="1" t="s">
        <v>68</v>
      </c>
      <c r="K220" s="1" t="s">
        <v>35</v>
      </c>
      <c r="L220" s="1" t="s">
        <v>46</v>
      </c>
      <c r="M220" s="1" t="s">
        <v>36</v>
      </c>
    </row>
    <row r="221" spans="1:13" x14ac:dyDescent="0.3">
      <c r="A221" s="1" t="s">
        <v>526</v>
      </c>
      <c r="B221" s="1" t="s">
        <v>424</v>
      </c>
      <c r="C221" s="1" t="s">
        <v>279</v>
      </c>
      <c r="D221" s="1" t="s">
        <v>50</v>
      </c>
      <c r="E221" s="1" t="s">
        <v>106</v>
      </c>
      <c r="F221" s="1" t="s">
        <v>107</v>
      </c>
      <c r="G221" s="1" t="s">
        <v>31</v>
      </c>
      <c r="H221" s="1" t="s">
        <v>32</v>
      </c>
      <c r="I221" s="1" t="s">
        <v>34</v>
      </c>
      <c r="J221" s="1" t="s">
        <v>108</v>
      </c>
      <c r="K221" s="1" t="s">
        <v>35</v>
      </c>
      <c r="L221" s="1" t="s">
        <v>46</v>
      </c>
      <c r="M221" s="1" t="s">
        <v>36</v>
      </c>
    </row>
    <row r="222" spans="1:13" x14ac:dyDescent="0.3">
      <c r="A222" s="1" t="s">
        <v>527</v>
      </c>
      <c r="B222" s="1" t="s">
        <v>500</v>
      </c>
      <c r="C222" s="1" t="s">
        <v>528</v>
      </c>
      <c r="D222" s="1" t="s">
        <v>124</v>
      </c>
      <c r="E222" s="1" t="s">
        <v>51</v>
      </c>
      <c r="F222" s="1" t="s">
        <v>52</v>
      </c>
      <c r="G222" s="1" t="s">
        <v>42</v>
      </c>
      <c r="H222" s="1" t="s">
        <v>149</v>
      </c>
      <c r="I222" s="1" t="s">
        <v>54</v>
      </c>
      <c r="J222" s="1" t="s">
        <v>55</v>
      </c>
      <c r="K222" s="1" t="s">
        <v>35</v>
      </c>
      <c r="L222" s="1" t="s">
        <v>23</v>
      </c>
      <c r="M222" s="1" t="s">
        <v>36</v>
      </c>
    </row>
    <row r="223" spans="1:13" x14ac:dyDescent="0.3">
      <c r="A223" s="1" t="s">
        <v>529</v>
      </c>
      <c r="B223" s="1" t="s">
        <v>530</v>
      </c>
      <c r="C223" s="1" t="s">
        <v>289</v>
      </c>
      <c r="D223" s="1" t="s">
        <v>59</v>
      </c>
      <c r="E223" s="1" t="s">
        <v>40</v>
      </c>
      <c r="F223" s="1" t="s">
        <v>41</v>
      </c>
      <c r="G223" s="1" t="s">
        <v>42</v>
      </c>
      <c r="H223" s="1" t="s">
        <v>91</v>
      </c>
      <c r="I223" s="1" t="s">
        <v>44</v>
      </c>
      <c r="J223" s="1" t="s">
        <v>45</v>
      </c>
      <c r="K223" s="1" t="s">
        <v>60</v>
      </c>
      <c r="L223" s="1" t="s">
        <v>46</v>
      </c>
      <c r="M223" s="1" t="s">
        <v>36</v>
      </c>
    </row>
    <row r="224" spans="1:13" x14ac:dyDescent="0.3">
      <c r="A224" s="1" t="s">
        <v>531</v>
      </c>
      <c r="B224" s="1" t="s">
        <v>532</v>
      </c>
      <c r="C224" s="1" t="s">
        <v>416</v>
      </c>
      <c r="D224" s="1" t="s">
        <v>124</v>
      </c>
      <c r="E224" s="1" t="s">
        <v>72</v>
      </c>
      <c r="F224" s="1" t="s">
        <v>73</v>
      </c>
      <c r="G224" s="1" t="s">
        <v>74</v>
      </c>
      <c r="H224" s="1" t="s">
        <v>43</v>
      </c>
      <c r="I224" s="1" t="s">
        <v>75</v>
      </c>
      <c r="J224" s="1" t="s">
        <v>76</v>
      </c>
      <c r="K224" s="1" t="s">
        <v>114</v>
      </c>
      <c r="L224" s="1" t="s">
        <v>23</v>
      </c>
      <c r="M224" s="1" t="s">
        <v>36</v>
      </c>
    </row>
    <row r="225" spans="1:13" x14ac:dyDescent="0.3">
      <c r="A225" s="1" t="s">
        <v>533</v>
      </c>
      <c r="B225" s="1" t="s">
        <v>534</v>
      </c>
      <c r="C225" s="1" t="s">
        <v>39</v>
      </c>
      <c r="D225" s="1" t="s">
        <v>28</v>
      </c>
      <c r="E225" s="1" t="s">
        <v>40</v>
      </c>
      <c r="F225" s="1" t="s">
        <v>41</v>
      </c>
      <c r="G225" s="1" t="s">
        <v>42</v>
      </c>
      <c r="H225" s="1" t="s">
        <v>149</v>
      </c>
      <c r="I225" s="1" t="s">
        <v>44</v>
      </c>
      <c r="J225" s="1" t="s">
        <v>45</v>
      </c>
      <c r="K225" s="1" t="s">
        <v>20</v>
      </c>
      <c r="L225" s="1" t="s">
        <v>46</v>
      </c>
      <c r="M225" s="1" t="s">
        <v>36</v>
      </c>
    </row>
    <row r="226" spans="1:13" x14ac:dyDescent="0.3">
      <c r="A226" s="1" t="s">
        <v>535</v>
      </c>
      <c r="B226" s="1" t="s">
        <v>281</v>
      </c>
      <c r="C226" s="1" t="s">
        <v>536</v>
      </c>
      <c r="D226" s="1" t="s">
        <v>50</v>
      </c>
      <c r="E226" s="1" t="s">
        <v>29</v>
      </c>
      <c r="F226" s="1" t="s">
        <v>30</v>
      </c>
      <c r="G226" s="1" t="s">
        <v>31</v>
      </c>
      <c r="H226" s="1" t="s">
        <v>43</v>
      </c>
      <c r="I226" s="1" t="s">
        <v>33</v>
      </c>
      <c r="J226" s="1" t="s">
        <v>34</v>
      </c>
      <c r="K226" s="1" t="s">
        <v>20</v>
      </c>
      <c r="L226" s="1" t="s">
        <v>23</v>
      </c>
      <c r="M226" s="1" t="s">
        <v>36</v>
      </c>
    </row>
    <row r="227" spans="1:13" x14ac:dyDescent="0.3">
      <c r="A227" s="1" t="s">
        <v>537</v>
      </c>
      <c r="B227" s="1" t="s">
        <v>355</v>
      </c>
      <c r="C227" s="1" t="s">
        <v>364</v>
      </c>
      <c r="D227" s="1" t="s">
        <v>59</v>
      </c>
      <c r="E227" s="1" t="s">
        <v>29</v>
      </c>
      <c r="F227" s="1" t="s">
        <v>30</v>
      </c>
      <c r="G227" s="1" t="s">
        <v>31</v>
      </c>
      <c r="H227" s="1" t="s">
        <v>32</v>
      </c>
      <c r="I227" s="1" t="s">
        <v>33</v>
      </c>
      <c r="J227" s="1" t="s">
        <v>34</v>
      </c>
      <c r="K227" s="1" t="s">
        <v>60</v>
      </c>
      <c r="L227" s="1" t="s">
        <v>23</v>
      </c>
      <c r="M227" s="1" t="s">
        <v>36</v>
      </c>
    </row>
    <row r="228" spans="1:13" x14ac:dyDescent="0.3">
      <c r="A228" s="1" t="s">
        <v>538</v>
      </c>
      <c r="B228" s="1" t="s">
        <v>215</v>
      </c>
      <c r="C228" s="1" t="s">
        <v>289</v>
      </c>
      <c r="D228" s="1" t="s">
        <v>124</v>
      </c>
      <c r="E228" s="1" t="s">
        <v>89</v>
      </c>
      <c r="F228" s="1" t="s">
        <v>90</v>
      </c>
      <c r="G228" s="1" t="s">
        <v>74</v>
      </c>
      <c r="H228" s="1" t="s">
        <v>66</v>
      </c>
      <c r="I228" s="1" t="s">
        <v>92</v>
      </c>
      <c r="J228" s="1" t="s">
        <v>93</v>
      </c>
      <c r="K228" s="1" t="s">
        <v>60</v>
      </c>
      <c r="L228" s="1" t="s">
        <v>23</v>
      </c>
      <c r="M228" s="1" t="s">
        <v>36</v>
      </c>
    </row>
    <row r="229" spans="1:13" x14ac:dyDescent="0.3">
      <c r="A229" s="1" t="s">
        <v>539</v>
      </c>
      <c r="B229" s="1" t="s">
        <v>355</v>
      </c>
      <c r="C229" s="1" t="s">
        <v>159</v>
      </c>
      <c r="D229" s="1" t="s">
        <v>50</v>
      </c>
      <c r="E229" s="1" t="s">
        <v>29</v>
      </c>
      <c r="F229" s="1" t="s">
        <v>30</v>
      </c>
      <c r="G229" s="1" t="s">
        <v>31</v>
      </c>
      <c r="H229" s="1" t="s">
        <v>127</v>
      </c>
      <c r="I229" s="1" t="s">
        <v>33</v>
      </c>
      <c r="J229" s="1" t="s">
        <v>34</v>
      </c>
      <c r="K229" s="1" t="s">
        <v>114</v>
      </c>
      <c r="L229" s="1" t="s">
        <v>46</v>
      </c>
      <c r="M229" s="1" t="s">
        <v>36</v>
      </c>
    </row>
    <row r="230" spans="1:13" x14ac:dyDescent="0.3">
      <c r="A230" s="1" t="s">
        <v>540</v>
      </c>
      <c r="B230" s="1" t="s">
        <v>448</v>
      </c>
      <c r="C230" s="1" t="s">
        <v>345</v>
      </c>
      <c r="D230" s="1" t="s">
        <v>50</v>
      </c>
      <c r="E230" s="1" t="s">
        <v>64</v>
      </c>
      <c r="F230" s="1" t="s">
        <v>65</v>
      </c>
      <c r="G230" s="1" t="s">
        <v>42</v>
      </c>
      <c r="H230" s="1" t="s">
        <v>43</v>
      </c>
      <c r="I230" s="1" t="s">
        <v>67</v>
      </c>
      <c r="J230" s="1" t="s">
        <v>68</v>
      </c>
      <c r="K230" s="1" t="s">
        <v>114</v>
      </c>
      <c r="L230" s="1" t="s">
        <v>23</v>
      </c>
      <c r="M230" s="1" t="s">
        <v>36</v>
      </c>
    </row>
    <row r="231" spans="1:13" x14ac:dyDescent="0.3">
      <c r="A231" s="1" t="s">
        <v>541</v>
      </c>
      <c r="B231" s="1" t="s">
        <v>376</v>
      </c>
      <c r="C231" s="1" t="s">
        <v>454</v>
      </c>
      <c r="D231" s="1" t="s">
        <v>50</v>
      </c>
      <c r="E231" s="1" t="s">
        <v>51</v>
      </c>
      <c r="F231" s="1" t="s">
        <v>52</v>
      </c>
      <c r="G231" s="1" t="s">
        <v>42</v>
      </c>
      <c r="H231" s="1" t="s">
        <v>66</v>
      </c>
      <c r="I231" s="1" t="s">
        <v>54</v>
      </c>
      <c r="J231" s="1" t="s">
        <v>55</v>
      </c>
      <c r="K231" s="1" t="s">
        <v>60</v>
      </c>
      <c r="L231" s="1" t="s">
        <v>23</v>
      </c>
      <c r="M231" s="1" t="s">
        <v>36</v>
      </c>
    </row>
    <row r="232" spans="1:13" x14ac:dyDescent="0.3">
      <c r="A232" s="1" t="s">
        <v>542</v>
      </c>
      <c r="B232" s="1" t="s">
        <v>543</v>
      </c>
      <c r="C232" s="1" t="s">
        <v>216</v>
      </c>
      <c r="D232" s="1" t="s">
        <v>50</v>
      </c>
      <c r="E232" s="1" t="s">
        <v>29</v>
      </c>
      <c r="F232" s="1" t="s">
        <v>30</v>
      </c>
      <c r="G232" s="1" t="s">
        <v>31</v>
      </c>
      <c r="H232" s="1" t="s">
        <v>66</v>
      </c>
      <c r="I232" s="1" t="s">
        <v>33</v>
      </c>
      <c r="J232" s="1" t="s">
        <v>34</v>
      </c>
      <c r="K232" s="1" t="s">
        <v>20</v>
      </c>
      <c r="L232" s="1" t="s">
        <v>46</v>
      </c>
      <c r="M232" s="1" t="s">
        <v>36</v>
      </c>
    </row>
    <row r="233" spans="1:13" x14ac:dyDescent="0.3">
      <c r="A233" s="1" t="s">
        <v>544</v>
      </c>
      <c r="B233" s="1" t="s">
        <v>545</v>
      </c>
      <c r="C233" s="1" t="s">
        <v>315</v>
      </c>
      <c r="D233" s="1" t="s">
        <v>59</v>
      </c>
      <c r="E233" s="1" t="s">
        <v>17</v>
      </c>
      <c r="F233" s="1" t="s">
        <v>18</v>
      </c>
      <c r="G233" s="1" t="s">
        <v>74</v>
      </c>
      <c r="H233" s="1" t="s">
        <v>32</v>
      </c>
      <c r="I233" s="1" t="s">
        <v>80</v>
      </c>
      <c r="J233" s="1" t="s">
        <v>81</v>
      </c>
      <c r="K233" s="1" t="s">
        <v>60</v>
      </c>
      <c r="L233" s="1" t="s">
        <v>23</v>
      </c>
      <c r="M233" s="1" t="s">
        <v>172</v>
      </c>
    </row>
    <row r="234" spans="1:13" x14ac:dyDescent="0.3">
      <c r="A234" s="1" t="s">
        <v>546</v>
      </c>
      <c r="B234" s="1" t="s">
        <v>181</v>
      </c>
      <c r="C234" s="1" t="s">
        <v>322</v>
      </c>
      <c r="D234" s="1" t="s">
        <v>156</v>
      </c>
      <c r="E234" s="1" t="s">
        <v>64</v>
      </c>
      <c r="F234" s="1" t="s">
        <v>65</v>
      </c>
      <c r="G234" s="1" t="s">
        <v>42</v>
      </c>
      <c r="H234" s="1" t="s">
        <v>85</v>
      </c>
      <c r="I234" s="1" t="s">
        <v>67</v>
      </c>
      <c r="J234" s="1" t="s">
        <v>68</v>
      </c>
      <c r="K234" s="1" t="s">
        <v>35</v>
      </c>
      <c r="L234" s="1" t="s">
        <v>23</v>
      </c>
      <c r="M234" s="1" t="s">
        <v>36</v>
      </c>
    </row>
    <row r="235" spans="1:13" x14ac:dyDescent="0.3">
      <c r="A235" s="1" t="s">
        <v>547</v>
      </c>
      <c r="B235" s="1" t="s">
        <v>161</v>
      </c>
      <c r="C235" s="1" t="s">
        <v>478</v>
      </c>
      <c r="D235" s="1" t="s">
        <v>28</v>
      </c>
      <c r="E235" s="1" t="s">
        <v>89</v>
      </c>
      <c r="F235" s="1" t="s">
        <v>90</v>
      </c>
      <c r="G235" s="1" t="s">
        <v>74</v>
      </c>
      <c r="H235" s="1" t="s">
        <v>66</v>
      </c>
      <c r="I235" s="1" t="s">
        <v>92</v>
      </c>
      <c r="J235" s="1" t="s">
        <v>93</v>
      </c>
      <c r="K235" s="1" t="s">
        <v>60</v>
      </c>
      <c r="L235" s="1" t="s">
        <v>23</v>
      </c>
      <c r="M235" s="1" t="s">
        <v>36</v>
      </c>
    </row>
    <row r="236" spans="1:13" x14ac:dyDescent="0.3">
      <c r="A236" s="1" t="s">
        <v>548</v>
      </c>
      <c r="B236" s="1" t="s">
        <v>171</v>
      </c>
      <c r="C236" s="1" t="s">
        <v>293</v>
      </c>
      <c r="D236" s="1" t="s">
        <v>59</v>
      </c>
      <c r="E236" s="1" t="s">
        <v>72</v>
      </c>
      <c r="F236" s="1" t="s">
        <v>73</v>
      </c>
      <c r="G236" s="1" t="s">
        <v>74</v>
      </c>
      <c r="H236" s="1" t="s">
        <v>43</v>
      </c>
      <c r="I236" s="1" t="s">
        <v>75</v>
      </c>
      <c r="J236" s="1" t="s">
        <v>76</v>
      </c>
      <c r="K236" s="1" t="s">
        <v>35</v>
      </c>
      <c r="L236" s="1" t="s">
        <v>23</v>
      </c>
      <c r="M236" s="1" t="s">
        <v>36</v>
      </c>
    </row>
    <row r="237" spans="1:13" x14ac:dyDescent="0.3">
      <c r="A237" s="1" t="s">
        <v>549</v>
      </c>
      <c r="B237" s="1" t="s">
        <v>440</v>
      </c>
      <c r="C237" s="1" t="s">
        <v>169</v>
      </c>
      <c r="D237" s="1" t="s">
        <v>59</v>
      </c>
      <c r="E237" s="1" t="s">
        <v>29</v>
      </c>
      <c r="F237" s="1" t="s">
        <v>30</v>
      </c>
      <c r="G237" s="1" t="s">
        <v>31</v>
      </c>
      <c r="H237" s="1" t="s">
        <v>149</v>
      </c>
      <c r="I237" s="1" t="s">
        <v>33</v>
      </c>
      <c r="J237" s="1" t="s">
        <v>34</v>
      </c>
      <c r="K237" s="1" t="s">
        <v>206</v>
      </c>
      <c r="L237" s="1" t="s">
        <v>23</v>
      </c>
      <c r="M237" s="1" t="s">
        <v>36</v>
      </c>
    </row>
    <row r="238" spans="1:13" x14ac:dyDescent="0.3">
      <c r="A238" s="1" t="s">
        <v>550</v>
      </c>
      <c r="B238" s="1" t="s">
        <v>370</v>
      </c>
      <c r="C238" s="1" t="s">
        <v>213</v>
      </c>
      <c r="D238" s="1" t="s">
        <v>50</v>
      </c>
      <c r="E238" s="1" t="s">
        <v>89</v>
      </c>
      <c r="F238" s="1" t="s">
        <v>90</v>
      </c>
      <c r="G238" s="1" t="s">
        <v>74</v>
      </c>
      <c r="H238" s="1" t="s">
        <v>32</v>
      </c>
      <c r="I238" s="1" t="s">
        <v>92</v>
      </c>
      <c r="J238" s="1" t="s">
        <v>93</v>
      </c>
      <c r="K238" s="1" t="s">
        <v>60</v>
      </c>
      <c r="L238" s="1" t="s">
        <v>23</v>
      </c>
      <c r="M238" s="1" t="s">
        <v>36</v>
      </c>
    </row>
    <row r="239" spans="1:13" x14ac:dyDescent="0.3">
      <c r="A239" s="1" t="s">
        <v>551</v>
      </c>
      <c r="B239" s="1" t="s">
        <v>486</v>
      </c>
      <c r="C239" s="1" t="s">
        <v>159</v>
      </c>
      <c r="D239" s="1" t="s">
        <v>28</v>
      </c>
      <c r="E239" s="1" t="s">
        <v>17</v>
      </c>
      <c r="F239" s="1" t="s">
        <v>18</v>
      </c>
      <c r="G239" s="1" t="s">
        <v>74</v>
      </c>
      <c r="H239" s="1" t="s">
        <v>149</v>
      </c>
      <c r="I239" s="1" t="s">
        <v>80</v>
      </c>
      <c r="J239" s="1" t="s">
        <v>81</v>
      </c>
      <c r="K239" s="1" t="s">
        <v>114</v>
      </c>
      <c r="L239" s="1" t="s">
        <v>46</v>
      </c>
      <c r="M239" s="1" t="s">
        <v>36</v>
      </c>
    </row>
    <row r="240" spans="1:13" x14ac:dyDescent="0.3">
      <c r="A240" s="1" t="s">
        <v>552</v>
      </c>
      <c r="B240" s="1" t="s">
        <v>57</v>
      </c>
      <c r="C240" s="1" t="s">
        <v>513</v>
      </c>
      <c r="D240" s="1" t="s">
        <v>124</v>
      </c>
      <c r="E240" s="1" t="s">
        <v>29</v>
      </c>
      <c r="F240" s="1" t="s">
        <v>30</v>
      </c>
      <c r="G240" s="1" t="s">
        <v>31</v>
      </c>
      <c r="H240" s="1" t="s">
        <v>66</v>
      </c>
      <c r="I240" s="1" t="s">
        <v>33</v>
      </c>
      <c r="J240" s="1" t="s">
        <v>34</v>
      </c>
      <c r="K240" s="1" t="s">
        <v>20</v>
      </c>
      <c r="L240" s="1" t="s">
        <v>23</v>
      </c>
      <c r="M240" s="1" t="s">
        <v>36</v>
      </c>
    </row>
    <row r="241" spans="1:13" x14ac:dyDescent="0.3">
      <c r="A241" s="1" t="s">
        <v>553</v>
      </c>
      <c r="B241" s="1" t="s">
        <v>281</v>
      </c>
      <c r="C241" s="1" t="s">
        <v>27</v>
      </c>
      <c r="D241" s="1" t="s">
        <v>59</v>
      </c>
      <c r="E241" s="1" t="s">
        <v>17</v>
      </c>
      <c r="F241" s="1" t="s">
        <v>18</v>
      </c>
      <c r="G241" s="1" t="s">
        <v>74</v>
      </c>
      <c r="H241" s="1" t="s">
        <v>43</v>
      </c>
      <c r="I241" s="1" t="s">
        <v>80</v>
      </c>
      <c r="J241" s="1" t="s">
        <v>81</v>
      </c>
      <c r="K241" s="1" t="s">
        <v>60</v>
      </c>
      <c r="L241" s="1" t="s">
        <v>46</v>
      </c>
      <c r="M241" s="1" t="s">
        <v>36</v>
      </c>
    </row>
    <row r="242" spans="1:13" x14ac:dyDescent="0.3">
      <c r="A242" s="1" t="s">
        <v>554</v>
      </c>
      <c r="B242" s="1" t="s">
        <v>134</v>
      </c>
      <c r="C242" s="1" t="s">
        <v>481</v>
      </c>
      <c r="D242" s="1" t="s">
        <v>28</v>
      </c>
      <c r="E242" s="1" t="s">
        <v>64</v>
      </c>
      <c r="F242" s="1" t="s">
        <v>65</v>
      </c>
      <c r="G242" s="1" t="s">
        <v>42</v>
      </c>
      <c r="H242" s="1" t="s">
        <v>43</v>
      </c>
      <c r="I242" s="1" t="s">
        <v>67</v>
      </c>
      <c r="J242" s="1" t="s">
        <v>68</v>
      </c>
      <c r="K242" s="1" t="s">
        <v>114</v>
      </c>
      <c r="L242" s="1" t="s">
        <v>46</v>
      </c>
      <c r="M242" s="1" t="s">
        <v>36</v>
      </c>
    </row>
    <row r="243" spans="1:13" x14ac:dyDescent="0.3">
      <c r="A243" s="1" t="s">
        <v>555</v>
      </c>
      <c r="B243" s="1" t="s">
        <v>171</v>
      </c>
      <c r="C243" s="1" t="s">
        <v>528</v>
      </c>
      <c r="D243" s="1" t="s">
        <v>59</v>
      </c>
      <c r="E243" s="1" t="s">
        <v>17</v>
      </c>
      <c r="F243" s="1" t="s">
        <v>18</v>
      </c>
      <c r="G243" s="1" t="s">
        <v>74</v>
      </c>
      <c r="H243" s="1" t="s">
        <v>66</v>
      </c>
      <c r="I243" s="1" t="s">
        <v>80</v>
      </c>
      <c r="J243" s="1" t="s">
        <v>81</v>
      </c>
      <c r="K243" s="1" t="s">
        <v>60</v>
      </c>
      <c r="L243" s="1" t="s">
        <v>46</v>
      </c>
      <c r="M243" s="1" t="s">
        <v>36</v>
      </c>
    </row>
    <row r="244" spans="1:13" x14ac:dyDescent="0.3">
      <c r="A244" s="1" t="s">
        <v>556</v>
      </c>
      <c r="B244" s="1" t="s">
        <v>557</v>
      </c>
      <c r="C244" s="1" t="s">
        <v>202</v>
      </c>
      <c r="D244" s="1" t="s">
        <v>50</v>
      </c>
      <c r="E244" s="1" t="s">
        <v>51</v>
      </c>
      <c r="F244" s="1" t="s">
        <v>52</v>
      </c>
      <c r="G244" s="1" t="s">
        <v>42</v>
      </c>
      <c r="H244" s="1" t="s">
        <v>149</v>
      </c>
      <c r="I244" s="1" t="s">
        <v>54</v>
      </c>
      <c r="J244" s="1" t="s">
        <v>55</v>
      </c>
      <c r="K244" s="1" t="s">
        <v>35</v>
      </c>
      <c r="L244" s="1" t="s">
        <v>46</v>
      </c>
      <c r="M244" s="1" t="s">
        <v>36</v>
      </c>
    </row>
    <row r="245" spans="1:13" x14ac:dyDescent="0.3">
      <c r="A245" s="1" t="s">
        <v>558</v>
      </c>
      <c r="B245" s="1" t="s">
        <v>257</v>
      </c>
      <c r="C245" s="1" t="s">
        <v>235</v>
      </c>
      <c r="D245" s="1" t="s">
        <v>59</v>
      </c>
      <c r="E245" s="1" t="s">
        <v>17</v>
      </c>
      <c r="F245" s="1" t="s">
        <v>18</v>
      </c>
      <c r="G245" s="1" t="s">
        <v>74</v>
      </c>
      <c r="H245" s="1" t="s">
        <v>85</v>
      </c>
      <c r="I245" s="1" t="s">
        <v>80</v>
      </c>
      <c r="J245" s="1" t="s">
        <v>81</v>
      </c>
      <c r="K245" s="1" t="s">
        <v>114</v>
      </c>
      <c r="L245" s="1" t="s">
        <v>23</v>
      </c>
      <c r="M245" s="1" t="s">
        <v>36</v>
      </c>
    </row>
    <row r="246" spans="1:13" x14ac:dyDescent="0.3">
      <c r="A246" s="1" t="s">
        <v>559</v>
      </c>
      <c r="B246" s="1" t="s">
        <v>560</v>
      </c>
      <c r="C246" s="1" t="s">
        <v>15</v>
      </c>
      <c r="D246" s="1" t="s">
        <v>50</v>
      </c>
      <c r="E246" s="1" t="s">
        <v>17</v>
      </c>
      <c r="F246" s="1" t="s">
        <v>18</v>
      </c>
      <c r="G246" s="1" t="s">
        <v>74</v>
      </c>
      <c r="H246" s="1" t="s">
        <v>32</v>
      </c>
      <c r="I246" s="1" t="s">
        <v>80</v>
      </c>
      <c r="J246" s="1" t="s">
        <v>81</v>
      </c>
      <c r="K246" s="1" t="s">
        <v>20</v>
      </c>
      <c r="L246" s="1" t="s">
        <v>46</v>
      </c>
      <c r="M246" s="1" t="s">
        <v>36</v>
      </c>
    </row>
    <row r="247" spans="1:13" x14ac:dyDescent="0.3">
      <c r="A247" s="1" t="s">
        <v>561</v>
      </c>
      <c r="B247" s="1" t="s">
        <v>297</v>
      </c>
      <c r="C247" s="1" t="s">
        <v>71</v>
      </c>
      <c r="D247" s="1" t="s">
        <v>50</v>
      </c>
      <c r="E247" s="1" t="s">
        <v>51</v>
      </c>
      <c r="F247" s="1" t="s">
        <v>52</v>
      </c>
      <c r="G247" s="1" t="s">
        <v>42</v>
      </c>
      <c r="H247" s="1" t="s">
        <v>149</v>
      </c>
      <c r="I247" s="1" t="s">
        <v>54</v>
      </c>
      <c r="J247" s="1" t="s">
        <v>55</v>
      </c>
      <c r="K247" s="1" t="s">
        <v>20</v>
      </c>
      <c r="L247" s="1" t="s">
        <v>46</v>
      </c>
      <c r="M247" s="1" t="s">
        <v>36</v>
      </c>
    </row>
    <row r="248" spans="1:13" x14ac:dyDescent="0.3">
      <c r="A248" s="1" t="s">
        <v>562</v>
      </c>
      <c r="B248" s="1" t="s">
        <v>116</v>
      </c>
      <c r="C248" s="1" t="s">
        <v>371</v>
      </c>
      <c r="D248" s="1" t="s">
        <v>59</v>
      </c>
      <c r="E248" s="1" t="s">
        <v>40</v>
      </c>
      <c r="F248" s="1" t="s">
        <v>41</v>
      </c>
      <c r="G248" s="1" t="s">
        <v>188</v>
      </c>
      <c r="H248" s="1" t="s">
        <v>43</v>
      </c>
      <c r="I248" s="1" t="s">
        <v>44</v>
      </c>
      <c r="J248" s="1" t="s">
        <v>45</v>
      </c>
      <c r="K248" s="1" t="s">
        <v>20</v>
      </c>
      <c r="L248" s="1" t="s">
        <v>23</v>
      </c>
      <c r="M248" s="1" t="s">
        <v>36</v>
      </c>
    </row>
    <row r="249" spans="1:13" x14ac:dyDescent="0.3">
      <c r="A249" s="1" t="s">
        <v>563</v>
      </c>
      <c r="B249" s="1" t="s">
        <v>257</v>
      </c>
      <c r="C249" s="1" t="s">
        <v>148</v>
      </c>
      <c r="D249" s="1" t="s">
        <v>50</v>
      </c>
      <c r="E249" s="1" t="s">
        <v>40</v>
      </c>
      <c r="F249" s="1" t="s">
        <v>41</v>
      </c>
      <c r="G249" s="1" t="s">
        <v>42</v>
      </c>
      <c r="H249" s="1" t="s">
        <v>53</v>
      </c>
      <c r="I249" s="1" t="s">
        <v>44</v>
      </c>
      <c r="J249" s="1" t="s">
        <v>45</v>
      </c>
      <c r="K249" s="1" t="s">
        <v>20</v>
      </c>
      <c r="L249" s="1" t="s">
        <v>46</v>
      </c>
      <c r="M249" s="1" t="s">
        <v>36</v>
      </c>
    </row>
    <row r="250" spans="1:13" x14ac:dyDescent="0.3">
      <c r="A250" s="1" t="s">
        <v>564</v>
      </c>
      <c r="B250" s="1" t="s">
        <v>366</v>
      </c>
      <c r="C250" s="1" t="s">
        <v>382</v>
      </c>
      <c r="D250" s="1" t="s">
        <v>124</v>
      </c>
      <c r="E250" s="1" t="s">
        <v>64</v>
      </c>
      <c r="F250" s="1" t="s">
        <v>65</v>
      </c>
      <c r="G250" s="1" t="s">
        <v>42</v>
      </c>
      <c r="H250" s="1" t="s">
        <v>85</v>
      </c>
      <c r="I250" s="1" t="s">
        <v>67</v>
      </c>
      <c r="J250" s="1" t="s">
        <v>68</v>
      </c>
      <c r="K250" s="1" t="s">
        <v>60</v>
      </c>
      <c r="L250" s="1" t="s">
        <v>46</v>
      </c>
      <c r="M250" s="1" t="s">
        <v>36</v>
      </c>
    </row>
    <row r="251" spans="1:13" x14ac:dyDescent="0.3">
      <c r="A251" s="1" t="s">
        <v>565</v>
      </c>
      <c r="B251" s="1" t="s">
        <v>144</v>
      </c>
      <c r="C251" s="1" t="s">
        <v>120</v>
      </c>
      <c r="D251" s="1" t="s">
        <v>59</v>
      </c>
      <c r="E251" s="1" t="s">
        <v>17</v>
      </c>
      <c r="F251" s="1" t="s">
        <v>18</v>
      </c>
      <c r="G251" s="1" t="s">
        <v>74</v>
      </c>
      <c r="H251" s="1" t="s">
        <v>127</v>
      </c>
      <c r="I251" s="1" t="s">
        <v>80</v>
      </c>
      <c r="J251" s="1" t="s">
        <v>81</v>
      </c>
      <c r="K251" s="1" t="s">
        <v>114</v>
      </c>
      <c r="L251" s="1" t="s">
        <v>23</v>
      </c>
      <c r="M251" s="1" t="s">
        <v>36</v>
      </c>
    </row>
    <row r="252" spans="1:13" x14ac:dyDescent="0.3">
      <c r="A252" s="1" t="s">
        <v>566</v>
      </c>
      <c r="B252" s="1" t="s">
        <v>470</v>
      </c>
      <c r="C252" s="1" t="s">
        <v>105</v>
      </c>
      <c r="D252" s="1" t="s">
        <v>50</v>
      </c>
      <c r="E252" s="1" t="s">
        <v>17</v>
      </c>
      <c r="F252" s="1" t="s">
        <v>18</v>
      </c>
      <c r="G252" s="1" t="s">
        <v>74</v>
      </c>
      <c r="H252" s="1" t="s">
        <v>91</v>
      </c>
      <c r="I252" s="1" t="s">
        <v>80</v>
      </c>
      <c r="J252" s="1" t="s">
        <v>81</v>
      </c>
      <c r="K252" s="1" t="s">
        <v>35</v>
      </c>
      <c r="L252" s="1" t="s">
        <v>23</v>
      </c>
      <c r="M252" s="1" t="s">
        <v>36</v>
      </c>
    </row>
    <row r="253" spans="1:13" x14ac:dyDescent="0.3">
      <c r="A253" s="1" t="s">
        <v>567</v>
      </c>
      <c r="B253" s="1" t="s">
        <v>477</v>
      </c>
      <c r="C253" s="1" t="s">
        <v>410</v>
      </c>
      <c r="D253" s="1" t="s">
        <v>50</v>
      </c>
      <c r="E253" s="1" t="s">
        <v>40</v>
      </c>
      <c r="F253" s="1" t="s">
        <v>41</v>
      </c>
      <c r="G253" s="1" t="s">
        <v>42</v>
      </c>
      <c r="H253" s="1" t="s">
        <v>43</v>
      </c>
      <c r="I253" s="1" t="s">
        <v>44</v>
      </c>
      <c r="J253" s="1" t="s">
        <v>45</v>
      </c>
      <c r="K253" s="1" t="s">
        <v>60</v>
      </c>
      <c r="L253" s="1" t="s">
        <v>23</v>
      </c>
      <c r="M253" s="1" t="s">
        <v>36</v>
      </c>
    </row>
    <row r="254" spans="1:13" x14ac:dyDescent="0.3">
      <c r="A254" s="1" t="s">
        <v>568</v>
      </c>
      <c r="B254" s="1" t="s">
        <v>226</v>
      </c>
      <c r="C254" s="1" t="s">
        <v>536</v>
      </c>
      <c r="D254" s="1" t="s">
        <v>28</v>
      </c>
      <c r="E254" s="1" t="s">
        <v>51</v>
      </c>
      <c r="F254" s="1" t="s">
        <v>52</v>
      </c>
      <c r="G254" s="1" t="s">
        <v>42</v>
      </c>
      <c r="H254" s="1" t="s">
        <v>149</v>
      </c>
      <c r="I254" s="1" t="s">
        <v>54</v>
      </c>
      <c r="J254" s="1" t="s">
        <v>55</v>
      </c>
      <c r="K254" s="1" t="s">
        <v>20</v>
      </c>
      <c r="L254" s="1" t="s">
        <v>46</v>
      </c>
      <c r="M254" s="1" t="s">
        <v>36</v>
      </c>
    </row>
    <row r="255" spans="1:13" x14ac:dyDescent="0.3">
      <c r="A255" s="1" t="s">
        <v>569</v>
      </c>
      <c r="B255" s="1" t="s">
        <v>62</v>
      </c>
      <c r="C255" s="1" t="s">
        <v>117</v>
      </c>
      <c r="D255" s="1" t="s">
        <v>59</v>
      </c>
      <c r="E255" s="1" t="s">
        <v>106</v>
      </c>
      <c r="F255" s="1" t="s">
        <v>107</v>
      </c>
      <c r="G255" s="1" t="s">
        <v>31</v>
      </c>
      <c r="H255" s="1" t="s">
        <v>149</v>
      </c>
      <c r="I255" s="1" t="s">
        <v>34</v>
      </c>
      <c r="J255" s="1" t="s">
        <v>108</v>
      </c>
      <c r="K255" s="1" t="s">
        <v>114</v>
      </c>
      <c r="L255" s="1" t="s">
        <v>46</v>
      </c>
      <c r="M255" s="1" t="s">
        <v>36</v>
      </c>
    </row>
    <row r="256" spans="1:13" x14ac:dyDescent="0.3">
      <c r="A256" s="1" t="s">
        <v>570</v>
      </c>
      <c r="B256" s="1" t="s">
        <v>571</v>
      </c>
      <c r="C256" s="1" t="s">
        <v>382</v>
      </c>
      <c r="D256" s="1" t="s">
        <v>50</v>
      </c>
      <c r="E256" s="1" t="s">
        <v>51</v>
      </c>
      <c r="F256" s="1" t="s">
        <v>52</v>
      </c>
      <c r="G256" s="1" t="s">
        <v>42</v>
      </c>
      <c r="H256" s="1" t="s">
        <v>149</v>
      </c>
      <c r="I256" s="1" t="s">
        <v>54</v>
      </c>
      <c r="J256" s="1" t="s">
        <v>55</v>
      </c>
      <c r="K256" s="1" t="s">
        <v>60</v>
      </c>
      <c r="L256" s="1" t="s">
        <v>46</v>
      </c>
      <c r="M256" s="1" t="s">
        <v>36</v>
      </c>
    </row>
    <row r="257" spans="1:13" x14ac:dyDescent="0.3">
      <c r="A257" s="1" t="s">
        <v>572</v>
      </c>
      <c r="B257" s="1" t="s">
        <v>573</v>
      </c>
      <c r="C257" s="1" t="s">
        <v>320</v>
      </c>
      <c r="D257" s="1" t="s">
        <v>59</v>
      </c>
      <c r="E257" s="1" t="s">
        <v>106</v>
      </c>
      <c r="F257" s="1" t="s">
        <v>107</v>
      </c>
      <c r="G257" s="1" t="s">
        <v>31</v>
      </c>
      <c r="H257" s="1" t="s">
        <v>85</v>
      </c>
      <c r="I257" s="1" t="s">
        <v>34</v>
      </c>
      <c r="J257" s="1" t="s">
        <v>108</v>
      </c>
      <c r="K257" s="1" t="s">
        <v>35</v>
      </c>
      <c r="L257" s="1" t="s">
        <v>46</v>
      </c>
      <c r="M257" s="1" t="s">
        <v>172</v>
      </c>
    </row>
    <row r="258" spans="1:13" x14ac:dyDescent="0.3">
      <c r="A258" s="1" t="s">
        <v>574</v>
      </c>
      <c r="B258" s="1" t="s">
        <v>486</v>
      </c>
      <c r="C258" s="1" t="s">
        <v>575</v>
      </c>
      <c r="D258" s="1" t="s">
        <v>59</v>
      </c>
      <c r="E258" s="1" t="s">
        <v>64</v>
      </c>
      <c r="F258" s="1" t="s">
        <v>65</v>
      </c>
      <c r="G258" s="1" t="s">
        <v>42</v>
      </c>
      <c r="H258" s="1" t="s">
        <v>149</v>
      </c>
      <c r="I258" s="1" t="s">
        <v>67</v>
      </c>
      <c r="J258" s="1" t="s">
        <v>68</v>
      </c>
      <c r="K258" s="1" t="s">
        <v>35</v>
      </c>
      <c r="L258" s="1" t="s">
        <v>23</v>
      </c>
      <c r="M258" s="1" t="s">
        <v>172</v>
      </c>
    </row>
    <row r="259" spans="1:13" x14ac:dyDescent="0.3">
      <c r="A259" s="1" t="s">
        <v>576</v>
      </c>
      <c r="B259" s="1" t="s">
        <v>577</v>
      </c>
      <c r="C259" s="1" t="s">
        <v>155</v>
      </c>
      <c r="D259" s="1" t="s">
        <v>28</v>
      </c>
      <c r="E259" s="1" t="s">
        <v>17</v>
      </c>
      <c r="F259" s="1" t="s">
        <v>18</v>
      </c>
      <c r="G259" s="1" t="s">
        <v>74</v>
      </c>
      <c r="H259" s="1" t="s">
        <v>53</v>
      </c>
      <c r="I259" s="1" t="s">
        <v>80</v>
      </c>
      <c r="J259" s="1" t="s">
        <v>81</v>
      </c>
      <c r="K259" s="1" t="s">
        <v>114</v>
      </c>
      <c r="L259" s="1" t="s">
        <v>23</v>
      </c>
      <c r="M259" s="1" t="s">
        <v>36</v>
      </c>
    </row>
    <row r="260" spans="1:13" x14ac:dyDescent="0.3">
      <c r="A260" s="1" t="s">
        <v>578</v>
      </c>
      <c r="B260" s="1" t="s">
        <v>360</v>
      </c>
      <c r="C260" s="1" t="s">
        <v>579</v>
      </c>
      <c r="D260" s="1" t="s">
        <v>50</v>
      </c>
      <c r="E260" s="1" t="s">
        <v>72</v>
      </c>
      <c r="F260" s="1" t="s">
        <v>73</v>
      </c>
      <c r="G260" s="1" t="s">
        <v>74</v>
      </c>
      <c r="H260" s="1" t="s">
        <v>91</v>
      </c>
      <c r="I260" s="1" t="s">
        <v>75</v>
      </c>
      <c r="J260" s="1" t="s">
        <v>76</v>
      </c>
      <c r="K260" s="1" t="s">
        <v>60</v>
      </c>
      <c r="L260" s="1" t="s">
        <v>23</v>
      </c>
      <c r="M260" s="1" t="s">
        <v>36</v>
      </c>
    </row>
    <row r="261" spans="1:13" x14ac:dyDescent="0.3">
      <c r="A261" s="1" t="s">
        <v>580</v>
      </c>
      <c r="B261" s="1" t="s">
        <v>581</v>
      </c>
      <c r="C261" s="1" t="s">
        <v>305</v>
      </c>
      <c r="D261" s="1" t="s">
        <v>28</v>
      </c>
      <c r="E261" s="1" t="s">
        <v>64</v>
      </c>
      <c r="F261" s="1" t="s">
        <v>65</v>
      </c>
      <c r="G261" s="1" t="s">
        <v>42</v>
      </c>
      <c r="H261" s="1" t="s">
        <v>66</v>
      </c>
      <c r="I261" s="1" t="s">
        <v>67</v>
      </c>
      <c r="J261" s="1" t="s">
        <v>68</v>
      </c>
      <c r="K261" s="1" t="s">
        <v>114</v>
      </c>
      <c r="L261" s="1" t="s">
        <v>46</v>
      </c>
      <c r="M261" s="1" t="s">
        <v>36</v>
      </c>
    </row>
    <row r="262" spans="1:13" x14ac:dyDescent="0.3">
      <c r="A262" s="1" t="s">
        <v>582</v>
      </c>
      <c r="B262" s="1" t="s">
        <v>317</v>
      </c>
      <c r="C262" s="1" t="s">
        <v>111</v>
      </c>
      <c r="D262" s="1" t="s">
        <v>59</v>
      </c>
      <c r="E262" s="1" t="s">
        <v>17</v>
      </c>
      <c r="F262" s="1" t="s">
        <v>18</v>
      </c>
      <c r="G262" s="1" t="s">
        <v>74</v>
      </c>
      <c r="H262" s="1" t="s">
        <v>66</v>
      </c>
      <c r="I262" s="1" t="s">
        <v>80</v>
      </c>
      <c r="J262" s="1" t="s">
        <v>81</v>
      </c>
      <c r="K262" s="1" t="s">
        <v>20</v>
      </c>
      <c r="L262" s="1" t="s">
        <v>23</v>
      </c>
      <c r="M262" s="1" t="s">
        <v>36</v>
      </c>
    </row>
    <row r="263" spans="1:13" x14ac:dyDescent="0.3">
      <c r="A263" s="1" t="s">
        <v>583</v>
      </c>
      <c r="B263" s="1" t="s">
        <v>577</v>
      </c>
      <c r="C263" s="1" t="s">
        <v>263</v>
      </c>
      <c r="D263" s="1" t="s">
        <v>406</v>
      </c>
      <c r="E263" s="1" t="s">
        <v>64</v>
      </c>
      <c r="F263" s="1" t="s">
        <v>65</v>
      </c>
      <c r="G263" s="1" t="s">
        <v>42</v>
      </c>
      <c r="H263" s="1" t="s">
        <v>53</v>
      </c>
      <c r="I263" s="1" t="s">
        <v>67</v>
      </c>
      <c r="J263" s="1" t="s">
        <v>68</v>
      </c>
      <c r="K263" s="1" t="s">
        <v>35</v>
      </c>
      <c r="L263" s="1" t="s">
        <v>23</v>
      </c>
      <c r="M263" s="1" t="s">
        <v>36</v>
      </c>
    </row>
    <row r="264" spans="1:13" x14ac:dyDescent="0.3">
      <c r="A264" s="1" t="s">
        <v>584</v>
      </c>
      <c r="B264" s="1" t="s">
        <v>506</v>
      </c>
      <c r="C264" s="1" t="s">
        <v>356</v>
      </c>
      <c r="D264" s="1" t="s">
        <v>124</v>
      </c>
      <c r="E264" s="1" t="s">
        <v>51</v>
      </c>
      <c r="F264" s="1" t="s">
        <v>52</v>
      </c>
      <c r="G264" s="1" t="s">
        <v>42</v>
      </c>
      <c r="H264" s="1" t="s">
        <v>32</v>
      </c>
      <c r="I264" s="1" t="s">
        <v>54</v>
      </c>
      <c r="J264" s="1" t="s">
        <v>55</v>
      </c>
      <c r="K264" s="1" t="s">
        <v>60</v>
      </c>
      <c r="L264" s="1" t="s">
        <v>23</v>
      </c>
      <c r="M264" s="1" t="s">
        <v>36</v>
      </c>
    </row>
    <row r="265" spans="1:13" x14ac:dyDescent="0.3">
      <c r="A265" s="1" t="s">
        <v>585</v>
      </c>
      <c r="B265" s="1" t="s">
        <v>586</v>
      </c>
      <c r="C265" s="1" t="s">
        <v>333</v>
      </c>
      <c r="D265" s="1" t="s">
        <v>28</v>
      </c>
      <c r="E265" s="1" t="s">
        <v>106</v>
      </c>
      <c r="F265" s="1" t="s">
        <v>107</v>
      </c>
      <c r="G265" s="1" t="s">
        <v>31</v>
      </c>
      <c r="H265" s="1" t="s">
        <v>32</v>
      </c>
      <c r="I265" s="1" t="s">
        <v>34</v>
      </c>
      <c r="J265" s="1" t="s">
        <v>108</v>
      </c>
      <c r="K265" s="1" t="s">
        <v>60</v>
      </c>
      <c r="L265" s="1" t="s">
        <v>23</v>
      </c>
      <c r="M265" s="1" t="s">
        <v>36</v>
      </c>
    </row>
    <row r="266" spans="1:13" x14ac:dyDescent="0.3">
      <c r="A266" s="1" t="s">
        <v>587</v>
      </c>
      <c r="B266" s="1" t="s">
        <v>38</v>
      </c>
      <c r="C266" s="1" t="s">
        <v>254</v>
      </c>
      <c r="D266" s="1" t="s">
        <v>28</v>
      </c>
      <c r="E266" s="1" t="s">
        <v>89</v>
      </c>
      <c r="F266" s="1" t="s">
        <v>90</v>
      </c>
      <c r="G266" s="1" t="s">
        <v>74</v>
      </c>
      <c r="H266" s="1" t="s">
        <v>149</v>
      </c>
      <c r="I266" s="1" t="s">
        <v>92</v>
      </c>
      <c r="J266" s="1" t="s">
        <v>93</v>
      </c>
      <c r="K266" s="1" t="s">
        <v>114</v>
      </c>
      <c r="L266" s="1" t="s">
        <v>23</v>
      </c>
      <c r="M266" s="1" t="s">
        <v>36</v>
      </c>
    </row>
    <row r="267" spans="1:13" x14ac:dyDescent="0.3">
      <c r="A267" s="1" t="s">
        <v>588</v>
      </c>
      <c r="B267" s="1" t="s">
        <v>78</v>
      </c>
      <c r="C267" s="1" t="s">
        <v>260</v>
      </c>
      <c r="D267" s="1" t="s">
        <v>59</v>
      </c>
      <c r="E267" s="1" t="s">
        <v>51</v>
      </c>
      <c r="F267" s="1" t="s">
        <v>52</v>
      </c>
      <c r="G267" s="1" t="s">
        <v>42</v>
      </c>
      <c r="H267" s="1" t="s">
        <v>149</v>
      </c>
      <c r="I267" s="1" t="s">
        <v>589</v>
      </c>
      <c r="J267" s="1" t="s">
        <v>55</v>
      </c>
      <c r="K267" s="1" t="s">
        <v>35</v>
      </c>
      <c r="L267" s="1" t="s">
        <v>23</v>
      </c>
      <c r="M267" s="1" t="s">
        <v>36</v>
      </c>
    </row>
    <row r="268" spans="1:13" x14ac:dyDescent="0.3">
      <c r="A268" s="1" t="s">
        <v>590</v>
      </c>
      <c r="B268" s="1" t="s">
        <v>591</v>
      </c>
      <c r="C268" s="1" t="s">
        <v>102</v>
      </c>
      <c r="D268" s="1" t="s">
        <v>124</v>
      </c>
      <c r="E268" s="1" t="s">
        <v>106</v>
      </c>
      <c r="F268" s="1" t="s">
        <v>107</v>
      </c>
      <c r="G268" s="1" t="s">
        <v>31</v>
      </c>
      <c r="H268" s="1" t="s">
        <v>43</v>
      </c>
      <c r="I268" s="1" t="s">
        <v>34</v>
      </c>
      <c r="J268" s="1" t="s">
        <v>108</v>
      </c>
      <c r="K268" s="1" t="s">
        <v>35</v>
      </c>
      <c r="L268" s="1" t="s">
        <v>23</v>
      </c>
      <c r="M268" s="1" t="s">
        <v>36</v>
      </c>
    </row>
    <row r="269" spans="1:13" x14ac:dyDescent="0.3">
      <c r="A269" s="1" t="s">
        <v>592</v>
      </c>
      <c r="B269" s="1" t="s">
        <v>376</v>
      </c>
      <c r="C269" s="1" t="s">
        <v>63</v>
      </c>
      <c r="D269" s="1" t="s">
        <v>124</v>
      </c>
      <c r="E269" s="1" t="s">
        <v>106</v>
      </c>
      <c r="F269" s="1" t="s">
        <v>107</v>
      </c>
      <c r="G269" s="1" t="s">
        <v>31</v>
      </c>
      <c r="H269" s="1" t="s">
        <v>66</v>
      </c>
      <c r="I269" s="1" t="s">
        <v>34</v>
      </c>
      <c r="J269" s="1" t="s">
        <v>16</v>
      </c>
      <c r="K269" s="1" t="s">
        <v>114</v>
      </c>
      <c r="L269" s="1" t="s">
        <v>23</v>
      </c>
      <c r="M269" s="1" t="s">
        <v>36</v>
      </c>
    </row>
    <row r="270" spans="1:13" x14ac:dyDescent="0.3">
      <c r="A270" s="1" t="s">
        <v>593</v>
      </c>
      <c r="B270" s="1" t="s">
        <v>490</v>
      </c>
      <c r="C270" s="1" t="s">
        <v>159</v>
      </c>
      <c r="D270" s="1" t="s">
        <v>59</v>
      </c>
      <c r="E270" s="1" t="s">
        <v>40</v>
      </c>
      <c r="F270" s="1" t="s">
        <v>41</v>
      </c>
      <c r="G270" s="1" t="s">
        <v>42</v>
      </c>
      <c r="H270" s="1" t="s">
        <v>66</v>
      </c>
      <c r="I270" s="1" t="s">
        <v>44</v>
      </c>
      <c r="J270" s="1" t="s">
        <v>45</v>
      </c>
      <c r="K270" s="1" t="s">
        <v>35</v>
      </c>
      <c r="L270" s="1" t="s">
        <v>46</v>
      </c>
      <c r="M270" s="1" t="s">
        <v>24</v>
      </c>
    </row>
    <row r="271" spans="1:13" x14ac:dyDescent="0.3">
      <c r="A271" s="1" t="s">
        <v>594</v>
      </c>
      <c r="B271" s="1" t="s">
        <v>591</v>
      </c>
      <c r="C271" s="1" t="s">
        <v>102</v>
      </c>
      <c r="D271" s="1" t="s">
        <v>28</v>
      </c>
      <c r="E271" s="1" t="s">
        <v>17</v>
      </c>
      <c r="F271" s="1" t="s">
        <v>18</v>
      </c>
      <c r="G271" s="1" t="s">
        <v>74</v>
      </c>
      <c r="H271" s="1" t="s">
        <v>66</v>
      </c>
      <c r="I271" s="1" t="s">
        <v>80</v>
      </c>
      <c r="J271" s="1" t="s">
        <v>81</v>
      </c>
      <c r="K271" s="1" t="s">
        <v>60</v>
      </c>
      <c r="L271" s="1" t="s">
        <v>46</v>
      </c>
      <c r="M271" s="1" t="s">
        <v>36</v>
      </c>
    </row>
    <row r="272" spans="1:13" x14ac:dyDescent="0.3">
      <c r="A272" s="1" t="s">
        <v>595</v>
      </c>
      <c r="B272" s="1" t="s">
        <v>456</v>
      </c>
      <c r="C272" s="1" t="s">
        <v>327</v>
      </c>
      <c r="D272" s="1" t="s">
        <v>124</v>
      </c>
      <c r="E272" s="1" t="s">
        <v>29</v>
      </c>
      <c r="F272" s="1" t="s">
        <v>30</v>
      </c>
      <c r="G272" s="1" t="s">
        <v>31</v>
      </c>
      <c r="H272" s="1" t="s">
        <v>53</v>
      </c>
      <c r="I272" s="1" t="s">
        <v>33</v>
      </c>
      <c r="J272" s="1" t="s">
        <v>34</v>
      </c>
      <c r="K272" s="1" t="s">
        <v>35</v>
      </c>
      <c r="L272" s="1" t="s">
        <v>23</v>
      </c>
      <c r="M272" s="1" t="s">
        <v>36</v>
      </c>
    </row>
    <row r="273" spans="1:13" x14ac:dyDescent="0.3">
      <c r="A273" s="1" t="s">
        <v>596</v>
      </c>
      <c r="B273" s="1" t="s">
        <v>161</v>
      </c>
      <c r="C273" s="1" t="s">
        <v>356</v>
      </c>
      <c r="D273" s="1" t="s">
        <v>124</v>
      </c>
      <c r="E273" s="1" t="s">
        <v>106</v>
      </c>
      <c r="F273" s="1" t="s">
        <v>107</v>
      </c>
      <c r="G273" s="1" t="s">
        <v>31</v>
      </c>
      <c r="H273" s="1" t="s">
        <v>91</v>
      </c>
      <c r="I273" s="1" t="s">
        <v>34</v>
      </c>
      <c r="J273" s="1" t="s">
        <v>108</v>
      </c>
      <c r="K273" s="1" t="s">
        <v>35</v>
      </c>
      <c r="L273" s="1" t="s">
        <v>23</v>
      </c>
      <c r="M273" s="1" t="s">
        <v>36</v>
      </c>
    </row>
    <row r="274" spans="1:13" x14ac:dyDescent="0.3">
      <c r="A274" s="1" t="s">
        <v>597</v>
      </c>
      <c r="B274" s="1" t="s">
        <v>598</v>
      </c>
      <c r="C274" s="1" t="s">
        <v>140</v>
      </c>
      <c r="D274" s="1" t="s">
        <v>50</v>
      </c>
      <c r="E274" s="1" t="s">
        <v>17</v>
      </c>
      <c r="F274" s="1" t="s">
        <v>18</v>
      </c>
      <c r="G274" s="1" t="s">
        <v>74</v>
      </c>
      <c r="H274" s="1" t="s">
        <v>32</v>
      </c>
      <c r="I274" s="1" t="s">
        <v>80</v>
      </c>
      <c r="J274" s="1" t="s">
        <v>81</v>
      </c>
      <c r="K274" s="1" t="s">
        <v>60</v>
      </c>
      <c r="L274" s="1" t="s">
        <v>46</v>
      </c>
      <c r="M274" s="1" t="s">
        <v>36</v>
      </c>
    </row>
    <row r="275" spans="1:13" x14ac:dyDescent="0.3">
      <c r="A275" s="1" t="s">
        <v>599</v>
      </c>
      <c r="B275" s="1" t="s">
        <v>187</v>
      </c>
      <c r="C275" s="1" t="s">
        <v>102</v>
      </c>
      <c r="D275" s="1" t="s">
        <v>59</v>
      </c>
      <c r="E275" s="1" t="s">
        <v>106</v>
      </c>
      <c r="F275" s="1" t="s">
        <v>107</v>
      </c>
      <c r="G275" s="1" t="s">
        <v>31</v>
      </c>
      <c r="H275" s="1" t="s">
        <v>43</v>
      </c>
      <c r="I275" s="1" t="s">
        <v>34</v>
      </c>
      <c r="J275" s="1" t="s">
        <v>108</v>
      </c>
      <c r="K275" s="1" t="s">
        <v>114</v>
      </c>
      <c r="L275" s="1" t="s">
        <v>46</v>
      </c>
      <c r="M275" s="1" t="s">
        <v>36</v>
      </c>
    </row>
    <row r="276" spans="1:13" x14ac:dyDescent="0.3">
      <c r="A276" s="1" t="s">
        <v>600</v>
      </c>
      <c r="B276" s="1" t="s">
        <v>601</v>
      </c>
      <c r="C276" s="1" t="s">
        <v>308</v>
      </c>
      <c r="D276" s="1" t="s">
        <v>50</v>
      </c>
      <c r="E276" s="1" t="s">
        <v>40</v>
      </c>
      <c r="F276" s="1" t="s">
        <v>41</v>
      </c>
      <c r="G276" s="1" t="s">
        <v>42</v>
      </c>
      <c r="H276" s="1" t="s">
        <v>43</v>
      </c>
      <c r="I276" s="1" t="s">
        <v>44</v>
      </c>
      <c r="J276" s="1" t="s">
        <v>45</v>
      </c>
      <c r="K276" s="1" t="s">
        <v>35</v>
      </c>
      <c r="L276" s="1" t="s">
        <v>46</v>
      </c>
      <c r="M276" s="1" t="s">
        <v>36</v>
      </c>
    </row>
    <row r="277" spans="1:13" x14ac:dyDescent="0.3">
      <c r="A277" s="1" t="s">
        <v>602</v>
      </c>
      <c r="B277" s="1" t="s">
        <v>480</v>
      </c>
      <c r="C277" s="1" t="s">
        <v>159</v>
      </c>
      <c r="D277" s="1" t="s">
        <v>28</v>
      </c>
      <c r="E277" s="1" t="s">
        <v>64</v>
      </c>
      <c r="F277" s="1" t="s">
        <v>65</v>
      </c>
      <c r="G277" s="1" t="s">
        <v>42</v>
      </c>
      <c r="H277" s="1" t="s">
        <v>85</v>
      </c>
      <c r="I277" s="1" t="s">
        <v>67</v>
      </c>
      <c r="J277" s="1" t="s">
        <v>68</v>
      </c>
      <c r="K277" s="1" t="s">
        <v>114</v>
      </c>
      <c r="L277" s="1" t="s">
        <v>23</v>
      </c>
      <c r="M277" s="1" t="s">
        <v>36</v>
      </c>
    </row>
    <row r="278" spans="1:13" x14ac:dyDescent="0.3">
      <c r="A278" s="1" t="s">
        <v>603</v>
      </c>
      <c r="B278" s="1" t="s">
        <v>347</v>
      </c>
      <c r="C278" s="1" t="s">
        <v>302</v>
      </c>
      <c r="D278" s="1" t="s">
        <v>59</v>
      </c>
      <c r="E278" s="1" t="s">
        <v>89</v>
      </c>
      <c r="F278" s="1" t="s">
        <v>90</v>
      </c>
      <c r="G278" s="1" t="s">
        <v>74</v>
      </c>
      <c r="H278" s="1" t="s">
        <v>127</v>
      </c>
      <c r="I278" s="1" t="s">
        <v>92</v>
      </c>
      <c r="J278" s="1" t="s">
        <v>93</v>
      </c>
      <c r="K278" s="1" t="s">
        <v>20</v>
      </c>
      <c r="L278" s="1" t="s">
        <v>46</v>
      </c>
      <c r="M278" s="1" t="s">
        <v>172</v>
      </c>
    </row>
    <row r="279" spans="1:13" x14ac:dyDescent="0.3">
      <c r="A279" s="1" t="s">
        <v>604</v>
      </c>
      <c r="B279" s="1" t="s">
        <v>438</v>
      </c>
      <c r="C279" s="1" t="s">
        <v>579</v>
      </c>
      <c r="D279" s="1" t="s">
        <v>50</v>
      </c>
      <c r="E279" s="1" t="s">
        <v>72</v>
      </c>
      <c r="F279" s="1" t="s">
        <v>73</v>
      </c>
      <c r="G279" s="1" t="s">
        <v>74</v>
      </c>
      <c r="H279" s="1" t="s">
        <v>53</v>
      </c>
      <c r="I279" s="1" t="s">
        <v>75</v>
      </c>
      <c r="J279" s="1" t="s">
        <v>76</v>
      </c>
      <c r="K279" s="1" t="s">
        <v>35</v>
      </c>
      <c r="L279" s="1" t="s">
        <v>46</v>
      </c>
      <c r="M279" s="1" t="s">
        <v>36</v>
      </c>
    </row>
    <row r="280" spans="1:13" x14ac:dyDescent="0.3">
      <c r="A280" s="1" t="s">
        <v>605</v>
      </c>
      <c r="B280" s="1" t="s">
        <v>403</v>
      </c>
      <c r="C280" s="1" t="s">
        <v>99</v>
      </c>
      <c r="D280" s="1" t="s">
        <v>124</v>
      </c>
      <c r="E280" s="1" t="s">
        <v>51</v>
      </c>
      <c r="F280" s="1" t="s">
        <v>52</v>
      </c>
      <c r="G280" s="1" t="s">
        <v>42</v>
      </c>
      <c r="H280" s="1" t="s">
        <v>127</v>
      </c>
      <c r="I280" s="1" t="s">
        <v>54</v>
      </c>
      <c r="J280" s="1" t="s">
        <v>55</v>
      </c>
      <c r="K280" s="1" t="s">
        <v>60</v>
      </c>
      <c r="L280" s="1" t="s">
        <v>46</v>
      </c>
      <c r="M280" s="1" t="s">
        <v>36</v>
      </c>
    </row>
    <row r="281" spans="1:13" x14ac:dyDescent="0.3">
      <c r="A281" s="1" t="s">
        <v>606</v>
      </c>
      <c r="B281" s="1" t="s">
        <v>607</v>
      </c>
      <c r="C281" s="1" t="s">
        <v>58</v>
      </c>
      <c r="D281" s="1" t="s">
        <v>28</v>
      </c>
      <c r="E281" s="1" t="s">
        <v>106</v>
      </c>
      <c r="F281" s="1" t="s">
        <v>107</v>
      </c>
      <c r="G281" s="1" t="s">
        <v>31</v>
      </c>
      <c r="H281" s="1" t="s">
        <v>91</v>
      </c>
      <c r="I281" s="1" t="s">
        <v>34</v>
      </c>
      <c r="J281" s="1" t="s">
        <v>108</v>
      </c>
      <c r="K281" s="1" t="s">
        <v>35</v>
      </c>
      <c r="L281" s="1" t="s">
        <v>23</v>
      </c>
      <c r="M281" s="1" t="s">
        <v>36</v>
      </c>
    </row>
    <row r="282" spans="1:13" x14ac:dyDescent="0.3">
      <c r="A282" s="1" t="s">
        <v>608</v>
      </c>
      <c r="B282" s="1" t="s">
        <v>131</v>
      </c>
      <c r="C282" s="1" t="s">
        <v>71</v>
      </c>
      <c r="D282" s="1" t="s">
        <v>50</v>
      </c>
      <c r="E282" s="1" t="s">
        <v>72</v>
      </c>
      <c r="F282" s="1" t="s">
        <v>73</v>
      </c>
      <c r="G282" s="1" t="s">
        <v>74</v>
      </c>
      <c r="H282" s="1" t="s">
        <v>127</v>
      </c>
      <c r="I282" s="1" t="s">
        <v>75</v>
      </c>
      <c r="J282" s="1" t="s">
        <v>76</v>
      </c>
      <c r="K282" s="1" t="s">
        <v>114</v>
      </c>
      <c r="L282" s="1" t="s">
        <v>46</v>
      </c>
      <c r="M282" s="1" t="s">
        <v>36</v>
      </c>
    </row>
    <row r="283" spans="1:13" x14ac:dyDescent="0.3">
      <c r="A283" s="1" t="s">
        <v>609</v>
      </c>
      <c r="B283" s="1" t="s">
        <v>483</v>
      </c>
      <c r="C283" s="1" t="s">
        <v>610</v>
      </c>
      <c r="D283" s="1" t="s">
        <v>124</v>
      </c>
      <c r="E283" s="1" t="s">
        <v>72</v>
      </c>
      <c r="F283" s="1" t="s">
        <v>73</v>
      </c>
      <c r="G283" s="1" t="s">
        <v>74</v>
      </c>
      <c r="H283" s="1" t="s">
        <v>85</v>
      </c>
      <c r="I283" s="1" t="s">
        <v>75</v>
      </c>
      <c r="J283" s="1" t="s">
        <v>76</v>
      </c>
      <c r="K283" s="1" t="s">
        <v>60</v>
      </c>
      <c r="L283" s="1" t="s">
        <v>23</v>
      </c>
      <c r="M283" s="1" t="s">
        <v>36</v>
      </c>
    </row>
    <row r="284" spans="1:13" x14ac:dyDescent="0.3">
      <c r="A284" s="1" t="s">
        <v>611</v>
      </c>
      <c r="B284" s="1" t="s">
        <v>477</v>
      </c>
      <c r="C284" s="1" t="s">
        <v>216</v>
      </c>
      <c r="D284" s="1" t="s">
        <v>59</v>
      </c>
      <c r="E284" s="1" t="s">
        <v>64</v>
      </c>
      <c r="F284" s="1" t="s">
        <v>65</v>
      </c>
      <c r="G284" s="1" t="s">
        <v>42</v>
      </c>
      <c r="H284" s="1" t="s">
        <v>127</v>
      </c>
      <c r="I284" s="1" t="s">
        <v>67</v>
      </c>
      <c r="J284" s="1" t="s">
        <v>68</v>
      </c>
      <c r="K284" s="1" t="s">
        <v>22</v>
      </c>
      <c r="L284" s="1" t="s">
        <v>23</v>
      </c>
      <c r="M284" s="1" t="s">
        <v>36</v>
      </c>
    </row>
    <row r="285" spans="1:13" x14ac:dyDescent="0.3">
      <c r="A285" s="1" t="s">
        <v>612</v>
      </c>
      <c r="B285" s="1" t="s">
        <v>438</v>
      </c>
      <c r="C285" s="1" t="s">
        <v>293</v>
      </c>
      <c r="D285" s="1" t="s">
        <v>50</v>
      </c>
      <c r="E285" s="1" t="s">
        <v>40</v>
      </c>
      <c r="F285" s="1" t="s">
        <v>41</v>
      </c>
      <c r="G285" s="1" t="s">
        <v>42</v>
      </c>
      <c r="H285" s="1" t="s">
        <v>91</v>
      </c>
      <c r="I285" s="1" t="s">
        <v>44</v>
      </c>
      <c r="J285" s="1" t="s">
        <v>45</v>
      </c>
      <c r="K285" s="1" t="s">
        <v>114</v>
      </c>
      <c r="L285" s="1" t="s">
        <v>23</v>
      </c>
      <c r="M285" s="1" t="s">
        <v>36</v>
      </c>
    </row>
    <row r="286" spans="1:13" x14ac:dyDescent="0.3">
      <c r="A286" s="1" t="s">
        <v>613</v>
      </c>
      <c r="B286" s="1" t="s">
        <v>477</v>
      </c>
      <c r="C286" s="1" t="s">
        <v>390</v>
      </c>
      <c r="D286" s="1" t="s">
        <v>16</v>
      </c>
      <c r="E286" s="1" t="s">
        <v>17</v>
      </c>
      <c r="F286" s="1" t="s">
        <v>18</v>
      </c>
      <c r="G286" s="1" t="s">
        <v>74</v>
      </c>
      <c r="H286" s="1" t="s">
        <v>91</v>
      </c>
      <c r="I286" s="1" t="s">
        <v>80</v>
      </c>
      <c r="J286" s="1" t="s">
        <v>81</v>
      </c>
      <c r="K286" s="1" t="s">
        <v>114</v>
      </c>
      <c r="L286" s="1" t="s">
        <v>46</v>
      </c>
      <c r="M286" s="1" t="s">
        <v>36</v>
      </c>
    </row>
    <row r="287" spans="1:13" x14ac:dyDescent="0.3">
      <c r="A287" s="1" t="s">
        <v>614</v>
      </c>
      <c r="B287" s="1" t="s">
        <v>615</v>
      </c>
      <c r="C287" s="1" t="s">
        <v>495</v>
      </c>
      <c r="D287" s="1" t="s">
        <v>28</v>
      </c>
      <c r="E287" s="1" t="s">
        <v>51</v>
      </c>
      <c r="F287" s="1" t="s">
        <v>52</v>
      </c>
      <c r="G287" s="1" t="s">
        <v>42</v>
      </c>
      <c r="H287" s="1" t="s">
        <v>85</v>
      </c>
      <c r="I287" s="1" t="s">
        <v>54</v>
      </c>
      <c r="J287" s="1" t="s">
        <v>55</v>
      </c>
      <c r="K287" s="1" t="s">
        <v>20</v>
      </c>
      <c r="L287" s="1" t="s">
        <v>23</v>
      </c>
      <c r="M287" s="1" t="s">
        <v>36</v>
      </c>
    </row>
    <row r="288" spans="1:13" x14ac:dyDescent="0.3">
      <c r="A288" s="1" t="s">
        <v>616</v>
      </c>
      <c r="B288" s="1" t="s">
        <v>422</v>
      </c>
      <c r="C288" s="1" t="s">
        <v>49</v>
      </c>
      <c r="D288" s="1" t="s">
        <v>124</v>
      </c>
      <c r="E288" s="1" t="s">
        <v>40</v>
      </c>
      <c r="F288" s="1" t="s">
        <v>41</v>
      </c>
      <c r="G288" s="1" t="s">
        <v>42</v>
      </c>
      <c r="H288" s="1" t="s">
        <v>91</v>
      </c>
      <c r="I288" s="1" t="s">
        <v>44</v>
      </c>
      <c r="J288" s="1" t="s">
        <v>45</v>
      </c>
      <c r="K288" s="1" t="s">
        <v>35</v>
      </c>
      <c r="L288" s="1" t="s">
        <v>23</v>
      </c>
      <c r="M288" s="1" t="s">
        <v>36</v>
      </c>
    </row>
    <row r="289" spans="1:13" x14ac:dyDescent="0.3">
      <c r="A289" s="1" t="s">
        <v>617</v>
      </c>
      <c r="B289" s="1" t="s">
        <v>226</v>
      </c>
      <c r="C289" s="1" t="s">
        <v>197</v>
      </c>
      <c r="D289" s="1" t="s">
        <v>59</v>
      </c>
      <c r="E289" s="1" t="s">
        <v>89</v>
      </c>
      <c r="F289" s="1" t="s">
        <v>90</v>
      </c>
      <c r="G289" s="1" t="s">
        <v>19</v>
      </c>
      <c r="H289" s="1" t="s">
        <v>43</v>
      </c>
      <c r="I289" s="1" t="s">
        <v>92</v>
      </c>
      <c r="J289" s="1" t="s">
        <v>93</v>
      </c>
      <c r="K289" s="1" t="s">
        <v>20</v>
      </c>
      <c r="L289" s="1" t="s">
        <v>23</v>
      </c>
      <c r="M289" s="1" t="s">
        <v>36</v>
      </c>
    </row>
    <row r="290" spans="1:13" x14ac:dyDescent="0.3">
      <c r="A290" s="1" t="s">
        <v>618</v>
      </c>
      <c r="B290" s="1" t="s">
        <v>619</v>
      </c>
      <c r="C290" s="1" t="s">
        <v>322</v>
      </c>
      <c r="D290" s="1" t="s">
        <v>59</v>
      </c>
      <c r="E290" s="1" t="s">
        <v>106</v>
      </c>
      <c r="F290" s="1" t="s">
        <v>107</v>
      </c>
      <c r="G290" s="1" t="s">
        <v>31</v>
      </c>
      <c r="H290" s="1" t="s">
        <v>127</v>
      </c>
      <c r="I290" s="1" t="s">
        <v>34</v>
      </c>
      <c r="J290" s="1" t="s">
        <v>108</v>
      </c>
      <c r="K290" s="1" t="s">
        <v>114</v>
      </c>
      <c r="L290" s="1" t="s">
        <v>46</v>
      </c>
      <c r="M290" s="1" t="s">
        <v>36</v>
      </c>
    </row>
    <row r="291" spans="1:13" x14ac:dyDescent="0.3">
      <c r="A291" s="1" t="s">
        <v>620</v>
      </c>
      <c r="B291" s="1" t="s">
        <v>545</v>
      </c>
      <c r="C291" s="1" t="s">
        <v>148</v>
      </c>
      <c r="D291" s="1" t="s">
        <v>50</v>
      </c>
      <c r="E291" s="1" t="s">
        <v>29</v>
      </c>
      <c r="F291" s="1" t="s">
        <v>30</v>
      </c>
      <c r="G291" s="1" t="s">
        <v>31</v>
      </c>
      <c r="H291" s="1" t="s">
        <v>32</v>
      </c>
      <c r="I291" s="1" t="s">
        <v>33</v>
      </c>
      <c r="J291" s="1" t="s">
        <v>34</v>
      </c>
      <c r="K291" s="1" t="s">
        <v>114</v>
      </c>
      <c r="L291" s="1" t="s">
        <v>46</v>
      </c>
      <c r="M291" s="1" t="s">
        <v>36</v>
      </c>
    </row>
    <row r="292" spans="1:13" x14ac:dyDescent="0.3">
      <c r="A292" s="1" t="s">
        <v>621</v>
      </c>
      <c r="B292" s="1" t="s">
        <v>329</v>
      </c>
      <c r="C292" s="1" t="s">
        <v>152</v>
      </c>
      <c r="D292" s="1" t="s">
        <v>503</v>
      </c>
      <c r="E292" s="1" t="s">
        <v>40</v>
      </c>
      <c r="F292" s="1" t="s">
        <v>41</v>
      </c>
      <c r="G292" s="1" t="s">
        <v>42</v>
      </c>
      <c r="H292" s="1" t="s">
        <v>149</v>
      </c>
      <c r="I292" s="1" t="s">
        <v>44</v>
      </c>
      <c r="J292" s="1" t="s">
        <v>45</v>
      </c>
      <c r="K292" s="1" t="s">
        <v>20</v>
      </c>
      <c r="L292" s="1" t="s">
        <v>23</v>
      </c>
      <c r="M292" s="1" t="s">
        <v>36</v>
      </c>
    </row>
    <row r="293" spans="1:13" x14ac:dyDescent="0.3">
      <c r="A293" s="1" t="s">
        <v>622</v>
      </c>
      <c r="B293" s="1" t="s">
        <v>623</v>
      </c>
      <c r="C293" s="1" t="s">
        <v>624</v>
      </c>
      <c r="D293" s="1" t="s">
        <v>28</v>
      </c>
      <c r="E293" s="1" t="s">
        <v>64</v>
      </c>
      <c r="F293" s="1" t="s">
        <v>65</v>
      </c>
      <c r="G293" s="1" t="s">
        <v>42</v>
      </c>
      <c r="H293" s="1" t="s">
        <v>20</v>
      </c>
      <c r="I293" s="1" t="s">
        <v>67</v>
      </c>
      <c r="J293" s="1" t="s">
        <v>68</v>
      </c>
      <c r="K293" s="1" t="s">
        <v>114</v>
      </c>
      <c r="L293" s="1" t="s">
        <v>46</v>
      </c>
      <c r="M293" s="1" t="s">
        <v>36</v>
      </c>
    </row>
    <row r="294" spans="1:13" x14ac:dyDescent="0.3">
      <c r="A294" s="1" t="s">
        <v>625</v>
      </c>
      <c r="B294" s="1" t="s">
        <v>224</v>
      </c>
      <c r="C294" s="1" t="s">
        <v>302</v>
      </c>
      <c r="D294" s="1" t="s">
        <v>50</v>
      </c>
      <c r="E294" s="1" t="s">
        <v>72</v>
      </c>
      <c r="F294" s="1" t="s">
        <v>73</v>
      </c>
      <c r="G294" s="1" t="s">
        <v>74</v>
      </c>
      <c r="H294" s="1" t="s">
        <v>91</v>
      </c>
      <c r="I294" s="1" t="s">
        <v>75</v>
      </c>
      <c r="J294" s="1" t="s">
        <v>76</v>
      </c>
      <c r="K294" s="1" t="s">
        <v>60</v>
      </c>
      <c r="L294" s="1" t="s">
        <v>46</v>
      </c>
      <c r="M294" s="1" t="s">
        <v>36</v>
      </c>
    </row>
    <row r="295" spans="1:13" x14ac:dyDescent="0.3">
      <c r="A295" s="1" t="s">
        <v>626</v>
      </c>
      <c r="B295" s="1" t="s">
        <v>627</v>
      </c>
      <c r="C295" s="1" t="s">
        <v>345</v>
      </c>
      <c r="D295" s="1" t="s">
        <v>59</v>
      </c>
      <c r="E295" s="1" t="s">
        <v>89</v>
      </c>
      <c r="F295" s="1" t="s">
        <v>90</v>
      </c>
      <c r="G295" s="1" t="s">
        <v>74</v>
      </c>
      <c r="H295" s="1" t="s">
        <v>127</v>
      </c>
      <c r="I295" s="1" t="s">
        <v>92</v>
      </c>
      <c r="J295" s="1" t="s">
        <v>93</v>
      </c>
      <c r="K295" s="1" t="s">
        <v>35</v>
      </c>
      <c r="L295" s="1" t="s">
        <v>23</v>
      </c>
      <c r="M295" s="1" t="s">
        <v>36</v>
      </c>
    </row>
    <row r="296" spans="1:13" x14ac:dyDescent="0.3">
      <c r="A296" s="1" t="s">
        <v>628</v>
      </c>
      <c r="B296" s="1" t="s">
        <v>520</v>
      </c>
      <c r="C296" s="1" t="s">
        <v>327</v>
      </c>
      <c r="D296" s="1" t="s">
        <v>50</v>
      </c>
      <c r="E296" s="1" t="s">
        <v>72</v>
      </c>
      <c r="F296" s="1" t="s">
        <v>73</v>
      </c>
      <c r="G296" s="1" t="s">
        <v>74</v>
      </c>
      <c r="H296" s="1" t="s">
        <v>85</v>
      </c>
      <c r="I296" s="1" t="s">
        <v>75</v>
      </c>
      <c r="J296" s="1" t="s">
        <v>76</v>
      </c>
      <c r="K296" s="1" t="s">
        <v>20</v>
      </c>
      <c r="L296" s="1" t="s">
        <v>23</v>
      </c>
      <c r="M296" s="1" t="s">
        <v>36</v>
      </c>
    </row>
    <row r="297" spans="1:13" x14ac:dyDescent="0.3">
      <c r="A297" s="1" t="s">
        <v>629</v>
      </c>
      <c r="B297" s="1" t="s">
        <v>405</v>
      </c>
      <c r="C297" s="1" t="s">
        <v>123</v>
      </c>
      <c r="D297" s="1" t="s">
        <v>28</v>
      </c>
      <c r="E297" s="1" t="s">
        <v>106</v>
      </c>
      <c r="F297" s="1" t="s">
        <v>107</v>
      </c>
      <c r="G297" s="1" t="s">
        <v>31</v>
      </c>
      <c r="H297" s="1" t="s">
        <v>85</v>
      </c>
      <c r="I297" s="1" t="s">
        <v>34</v>
      </c>
      <c r="J297" s="1" t="s">
        <v>108</v>
      </c>
      <c r="K297" s="1" t="s">
        <v>20</v>
      </c>
      <c r="L297" s="1" t="s">
        <v>23</v>
      </c>
      <c r="M297" s="1" t="s">
        <v>36</v>
      </c>
    </row>
    <row r="298" spans="1:13" x14ac:dyDescent="0.3">
      <c r="A298" s="1" t="s">
        <v>630</v>
      </c>
      <c r="B298" s="1" t="s">
        <v>631</v>
      </c>
      <c r="C298" s="1" t="s">
        <v>331</v>
      </c>
      <c r="D298" s="1" t="s">
        <v>59</v>
      </c>
      <c r="E298" s="1" t="s">
        <v>106</v>
      </c>
      <c r="F298" s="1" t="s">
        <v>107</v>
      </c>
      <c r="G298" s="1" t="s">
        <v>31</v>
      </c>
      <c r="H298" s="1" t="s">
        <v>127</v>
      </c>
      <c r="I298" s="1" t="s">
        <v>34</v>
      </c>
      <c r="J298" s="1" t="s">
        <v>108</v>
      </c>
      <c r="K298" s="1" t="s">
        <v>35</v>
      </c>
      <c r="L298" s="1" t="s">
        <v>23</v>
      </c>
      <c r="M298" s="1" t="s">
        <v>172</v>
      </c>
    </row>
    <row r="299" spans="1:13" x14ac:dyDescent="0.3">
      <c r="A299" s="1" t="s">
        <v>632</v>
      </c>
      <c r="B299" s="1" t="s">
        <v>116</v>
      </c>
      <c r="C299" s="1" t="s">
        <v>205</v>
      </c>
      <c r="D299" s="1" t="s">
        <v>28</v>
      </c>
      <c r="E299" s="1" t="s">
        <v>40</v>
      </c>
      <c r="F299" s="1" t="s">
        <v>41</v>
      </c>
      <c r="G299" s="1" t="s">
        <v>42</v>
      </c>
      <c r="H299" s="1" t="s">
        <v>32</v>
      </c>
      <c r="I299" s="1" t="s">
        <v>44</v>
      </c>
      <c r="J299" s="1" t="s">
        <v>45</v>
      </c>
      <c r="K299" s="1" t="s">
        <v>20</v>
      </c>
      <c r="L299" s="1" t="s">
        <v>46</v>
      </c>
      <c r="M299" s="1" t="s">
        <v>36</v>
      </c>
    </row>
    <row r="300" spans="1:13" x14ac:dyDescent="0.3">
      <c r="A300" s="1" t="s">
        <v>633</v>
      </c>
      <c r="B300" s="1" t="s">
        <v>288</v>
      </c>
      <c r="C300" s="1" t="s">
        <v>610</v>
      </c>
      <c r="D300" s="1" t="s">
        <v>28</v>
      </c>
      <c r="E300" s="1" t="s">
        <v>17</v>
      </c>
      <c r="F300" s="1" t="s">
        <v>18</v>
      </c>
      <c r="G300" s="1" t="s">
        <v>74</v>
      </c>
      <c r="H300" s="1" t="s">
        <v>66</v>
      </c>
      <c r="I300" s="1" t="s">
        <v>80</v>
      </c>
      <c r="J300" s="1" t="s">
        <v>81</v>
      </c>
      <c r="K300" s="1" t="s">
        <v>35</v>
      </c>
      <c r="L300" s="1" t="s">
        <v>23</v>
      </c>
      <c r="M300" s="1" t="s">
        <v>36</v>
      </c>
    </row>
    <row r="301" spans="1:13" x14ac:dyDescent="0.3">
      <c r="A301" s="1" t="s">
        <v>634</v>
      </c>
      <c r="B301" s="1" t="s">
        <v>635</v>
      </c>
      <c r="C301" s="1" t="s">
        <v>302</v>
      </c>
      <c r="D301" s="1" t="s">
        <v>28</v>
      </c>
      <c r="E301" s="1" t="s">
        <v>29</v>
      </c>
      <c r="F301" s="1" t="s">
        <v>30</v>
      </c>
      <c r="G301" s="1" t="s">
        <v>31</v>
      </c>
      <c r="H301" s="1" t="s">
        <v>53</v>
      </c>
      <c r="I301" s="1" t="s">
        <v>33</v>
      </c>
      <c r="J301" s="1" t="s">
        <v>34</v>
      </c>
      <c r="K301" s="1" t="s">
        <v>35</v>
      </c>
      <c r="L301" s="1" t="s">
        <v>46</v>
      </c>
      <c r="M301" s="1" t="s">
        <v>36</v>
      </c>
    </row>
    <row r="302" spans="1:13" x14ac:dyDescent="0.3">
      <c r="A302" s="1" t="s">
        <v>636</v>
      </c>
      <c r="B302" s="1" t="s">
        <v>204</v>
      </c>
      <c r="C302" s="1" t="s">
        <v>462</v>
      </c>
      <c r="D302" s="1" t="s">
        <v>28</v>
      </c>
      <c r="E302" s="1" t="s">
        <v>29</v>
      </c>
      <c r="F302" s="1" t="s">
        <v>30</v>
      </c>
      <c r="G302" s="1" t="s">
        <v>31</v>
      </c>
      <c r="H302" s="1" t="s">
        <v>43</v>
      </c>
      <c r="I302" s="1" t="s">
        <v>33</v>
      </c>
      <c r="J302" s="1" t="s">
        <v>34</v>
      </c>
      <c r="K302" s="1" t="s">
        <v>35</v>
      </c>
      <c r="L302" s="1" t="s">
        <v>23</v>
      </c>
      <c r="M302" s="1" t="s">
        <v>36</v>
      </c>
    </row>
    <row r="303" spans="1:13" x14ac:dyDescent="0.3">
      <c r="A303" s="1" t="s">
        <v>637</v>
      </c>
      <c r="B303" s="1" t="s">
        <v>281</v>
      </c>
      <c r="C303" s="1" t="s">
        <v>610</v>
      </c>
      <c r="D303" s="1" t="s">
        <v>28</v>
      </c>
      <c r="E303" s="1" t="s">
        <v>72</v>
      </c>
      <c r="F303" s="1" t="s">
        <v>73</v>
      </c>
      <c r="G303" s="1" t="s">
        <v>74</v>
      </c>
      <c r="H303" s="1" t="s">
        <v>149</v>
      </c>
      <c r="I303" s="1" t="s">
        <v>75</v>
      </c>
      <c r="J303" s="1" t="s">
        <v>76</v>
      </c>
      <c r="K303" s="1" t="s">
        <v>35</v>
      </c>
      <c r="L303" s="1" t="s">
        <v>46</v>
      </c>
      <c r="M303" s="1" t="s">
        <v>36</v>
      </c>
    </row>
    <row r="304" spans="1:13" x14ac:dyDescent="0.3">
      <c r="A304" s="1" t="s">
        <v>638</v>
      </c>
      <c r="B304" s="1" t="s">
        <v>360</v>
      </c>
      <c r="C304" s="1" t="s">
        <v>175</v>
      </c>
      <c r="D304" s="1" t="s">
        <v>59</v>
      </c>
      <c r="E304" s="1" t="s">
        <v>64</v>
      </c>
      <c r="F304" s="1" t="s">
        <v>65</v>
      </c>
      <c r="G304" s="1" t="s">
        <v>42</v>
      </c>
      <c r="H304" s="1" t="s">
        <v>85</v>
      </c>
      <c r="I304" s="1" t="s">
        <v>67</v>
      </c>
      <c r="J304" s="1" t="s">
        <v>68</v>
      </c>
      <c r="K304" s="1" t="s">
        <v>35</v>
      </c>
      <c r="L304" s="1" t="s">
        <v>23</v>
      </c>
      <c r="M304" s="1" t="s">
        <v>36</v>
      </c>
    </row>
    <row r="305" spans="1:13" x14ac:dyDescent="0.3">
      <c r="A305" s="1" t="s">
        <v>639</v>
      </c>
      <c r="B305" s="1" t="s">
        <v>543</v>
      </c>
      <c r="C305" s="1" t="s">
        <v>390</v>
      </c>
      <c r="D305" s="1" t="s">
        <v>50</v>
      </c>
      <c r="E305" s="1" t="s">
        <v>89</v>
      </c>
      <c r="F305" s="1" t="s">
        <v>90</v>
      </c>
      <c r="G305" s="1" t="s">
        <v>74</v>
      </c>
      <c r="H305" s="1" t="s">
        <v>43</v>
      </c>
      <c r="I305" s="1" t="s">
        <v>92</v>
      </c>
      <c r="J305" s="1" t="s">
        <v>93</v>
      </c>
      <c r="K305" s="1" t="s">
        <v>20</v>
      </c>
      <c r="L305" s="1" t="s">
        <v>23</v>
      </c>
      <c r="M305" s="1" t="s">
        <v>36</v>
      </c>
    </row>
    <row r="306" spans="1:13" x14ac:dyDescent="0.3">
      <c r="A306" s="1" t="s">
        <v>640</v>
      </c>
      <c r="B306" s="1" t="s">
        <v>199</v>
      </c>
      <c r="C306" s="1" t="s">
        <v>211</v>
      </c>
      <c r="D306" s="1" t="s">
        <v>59</v>
      </c>
      <c r="E306" s="1" t="s">
        <v>40</v>
      </c>
      <c r="F306" s="1" t="s">
        <v>41</v>
      </c>
      <c r="G306" s="1" t="s">
        <v>42</v>
      </c>
      <c r="H306" s="1" t="s">
        <v>85</v>
      </c>
      <c r="I306" s="1" t="s">
        <v>44</v>
      </c>
      <c r="J306" s="1" t="s">
        <v>45</v>
      </c>
      <c r="K306" s="1" t="s">
        <v>114</v>
      </c>
      <c r="L306" s="1" t="s">
        <v>46</v>
      </c>
      <c r="M306" s="1" t="s">
        <v>36</v>
      </c>
    </row>
    <row r="307" spans="1:13" x14ac:dyDescent="0.3">
      <c r="A307" s="1" t="s">
        <v>641</v>
      </c>
      <c r="B307" s="1" t="s">
        <v>349</v>
      </c>
      <c r="C307" s="1" t="s">
        <v>202</v>
      </c>
      <c r="D307" s="1" t="s">
        <v>59</v>
      </c>
      <c r="E307" s="1" t="s">
        <v>89</v>
      </c>
      <c r="F307" s="1" t="s">
        <v>90</v>
      </c>
      <c r="G307" s="1" t="s">
        <v>74</v>
      </c>
      <c r="H307" s="1" t="s">
        <v>66</v>
      </c>
      <c r="I307" s="1" t="s">
        <v>92</v>
      </c>
      <c r="J307" s="1" t="s">
        <v>93</v>
      </c>
      <c r="K307" s="1" t="s">
        <v>60</v>
      </c>
      <c r="L307" s="1" t="s">
        <v>23</v>
      </c>
      <c r="M307" s="1" t="s">
        <v>172</v>
      </c>
    </row>
    <row r="308" spans="1:13" x14ac:dyDescent="0.3">
      <c r="A308" s="1" t="s">
        <v>642</v>
      </c>
      <c r="B308" s="1" t="s">
        <v>643</v>
      </c>
      <c r="C308" s="1" t="s">
        <v>117</v>
      </c>
      <c r="D308" s="1" t="s">
        <v>28</v>
      </c>
      <c r="E308" s="1" t="s">
        <v>64</v>
      </c>
      <c r="F308" s="1" t="s">
        <v>65</v>
      </c>
      <c r="G308" s="1" t="s">
        <v>42</v>
      </c>
      <c r="H308" s="1" t="s">
        <v>85</v>
      </c>
      <c r="I308" s="1" t="s">
        <v>67</v>
      </c>
      <c r="J308" s="1" t="s">
        <v>68</v>
      </c>
      <c r="K308" s="1" t="s">
        <v>60</v>
      </c>
      <c r="L308" s="1" t="s">
        <v>46</v>
      </c>
      <c r="M308" s="1" t="s">
        <v>36</v>
      </c>
    </row>
    <row r="309" spans="1:13" x14ac:dyDescent="0.3">
      <c r="A309" s="1" t="s">
        <v>644</v>
      </c>
      <c r="B309" s="1" t="s">
        <v>204</v>
      </c>
      <c r="C309" s="1" t="s">
        <v>202</v>
      </c>
      <c r="D309" s="1" t="s">
        <v>50</v>
      </c>
      <c r="E309" s="1" t="s">
        <v>17</v>
      </c>
      <c r="F309" s="1" t="s">
        <v>18</v>
      </c>
      <c r="G309" s="1" t="s">
        <v>74</v>
      </c>
      <c r="H309" s="1" t="s">
        <v>43</v>
      </c>
      <c r="I309" s="1" t="s">
        <v>80</v>
      </c>
      <c r="J309" s="1" t="s">
        <v>81</v>
      </c>
      <c r="K309" s="1" t="s">
        <v>35</v>
      </c>
      <c r="L309" s="1" t="s">
        <v>23</v>
      </c>
      <c r="M309" s="1" t="s">
        <v>36</v>
      </c>
    </row>
    <row r="310" spans="1:13" x14ac:dyDescent="0.3">
      <c r="A310" s="1" t="s">
        <v>645</v>
      </c>
      <c r="B310" s="1" t="s">
        <v>429</v>
      </c>
      <c r="C310" s="1" t="s">
        <v>132</v>
      </c>
      <c r="D310" s="1" t="s">
        <v>50</v>
      </c>
      <c r="E310" s="1" t="s">
        <v>51</v>
      </c>
      <c r="F310" s="1" t="s">
        <v>52</v>
      </c>
      <c r="G310" s="1" t="s">
        <v>42</v>
      </c>
      <c r="H310" s="1" t="s">
        <v>43</v>
      </c>
      <c r="I310" s="1" t="s">
        <v>54</v>
      </c>
      <c r="J310" s="1" t="s">
        <v>55</v>
      </c>
      <c r="K310" s="1" t="s">
        <v>60</v>
      </c>
      <c r="L310" s="1" t="s">
        <v>46</v>
      </c>
      <c r="M310" s="1" t="s">
        <v>36</v>
      </c>
    </row>
    <row r="311" spans="1:13" x14ac:dyDescent="0.3">
      <c r="A311" s="1" t="s">
        <v>646</v>
      </c>
      <c r="B311" s="1" t="s">
        <v>545</v>
      </c>
      <c r="C311" s="1" t="s">
        <v>213</v>
      </c>
      <c r="D311" s="1" t="s">
        <v>59</v>
      </c>
      <c r="E311" s="1" t="s">
        <v>64</v>
      </c>
      <c r="F311" s="1" t="s">
        <v>65</v>
      </c>
      <c r="G311" s="1" t="s">
        <v>42</v>
      </c>
      <c r="H311" s="1" t="s">
        <v>66</v>
      </c>
      <c r="I311" s="1" t="s">
        <v>67</v>
      </c>
      <c r="J311" s="1" t="s">
        <v>68</v>
      </c>
      <c r="K311" s="1" t="s">
        <v>114</v>
      </c>
      <c r="L311" s="1" t="s">
        <v>46</v>
      </c>
      <c r="M311" s="1" t="s">
        <v>36</v>
      </c>
    </row>
    <row r="312" spans="1:13" x14ac:dyDescent="0.3">
      <c r="A312" s="1" t="s">
        <v>647</v>
      </c>
      <c r="B312" s="1" t="s">
        <v>448</v>
      </c>
      <c r="C312" s="1" t="s">
        <v>132</v>
      </c>
      <c r="D312" s="1" t="s">
        <v>28</v>
      </c>
      <c r="E312" s="1" t="s">
        <v>51</v>
      </c>
      <c r="F312" s="1" t="s">
        <v>52</v>
      </c>
      <c r="G312" s="1" t="s">
        <v>42</v>
      </c>
      <c r="H312" s="1" t="s">
        <v>66</v>
      </c>
      <c r="I312" s="1" t="s">
        <v>54</v>
      </c>
      <c r="J312" s="1" t="s">
        <v>55</v>
      </c>
      <c r="K312" s="1" t="s">
        <v>60</v>
      </c>
      <c r="L312" s="1" t="s">
        <v>23</v>
      </c>
      <c r="M312" s="1" t="s">
        <v>172</v>
      </c>
    </row>
    <row r="313" spans="1:13" x14ac:dyDescent="0.3">
      <c r="A313" s="1" t="s">
        <v>648</v>
      </c>
      <c r="B313" s="1" t="s">
        <v>468</v>
      </c>
      <c r="C313" s="1" t="s">
        <v>481</v>
      </c>
      <c r="D313" s="1" t="s">
        <v>50</v>
      </c>
      <c r="E313" s="1" t="s">
        <v>51</v>
      </c>
      <c r="F313" s="1" t="s">
        <v>52</v>
      </c>
      <c r="G313" s="1" t="s">
        <v>42</v>
      </c>
      <c r="H313" s="1" t="s">
        <v>43</v>
      </c>
      <c r="I313" s="1" t="s">
        <v>54</v>
      </c>
      <c r="J313" s="1" t="s">
        <v>55</v>
      </c>
      <c r="K313" s="1" t="s">
        <v>114</v>
      </c>
      <c r="L313" s="1" t="s">
        <v>23</v>
      </c>
      <c r="M313" s="1" t="s">
        <v>36</v>
      </c>
    </row>
    <row r="314" spans="1:13" x14ac:dyDescent="0.3">
      <c r="A314" s="1" t="s">
        <v>649</v>
      </c>
      <c r="B314" s="1" t="s">
        <v>650</v>
      </c>
      <c r="C314" s="1" t="s">
        <v>271</v>
      </c>
      <c r="D314" s="1" t="s">
        <v>28</v>
      </c>
      <c r="E314" s="1" t="s">
        <v>51</v>
      </c>
      <c r="F314" s="1" t="s">
        <v>52</v>
      </c>
      <c r="G314" s="1" t="s">
        <v>42</v>
      </c>
      <c r="H314" s="1" t="s">
        <v>91</v>
      </c>
      <c r="I314" s="1" t="s">
        <v>54</v>
      </c>
      <c r="J314" s="1" t="s">
        <v>55</v>
      </c>
      <c r="K314" s="1" t="s">
        <v>35</v>
      </c>
      <c r="L314" s="1" t="s">
        <v>46</v>
      </c>
      <c r="M314" s="1" t="s">
        <v>36</v>
      </c>
    </row>
    <row r="315" spans="1:13" x14ac:dyDescent="0.3">
      <c r="A315" s="1" t="s">
        <v>651</v>
      </c>
      <c r="B315" s="1" t="s">
        <v>113</v>
      </c>
      <c r="C315" s="1" t="s">
        <v>202</v>
      </c>
      <c r="D315" s="1" t="s">
        <v>124</v>
      </c>
      <c r="E315" s="1" t="s">
        <v>51</v>
      </c>
      <c r="F315" s="1" t="s">
        <v>52</v>
      </c>
      <c r="G315" s="1" t="s">
        <v>42</v>
      </c>
      <c r="H315" s="1" t="s">
        <v>149</v>
      </c>
      <c r="I315" s="1" t="s">
        <v>54</v>
      </c>
      <c r="J315" s="1" t="s">
        <v>55</v>
      </c>
      <c r="K315" s="1" t="s">
        <v>60</v>
      </c>
      <c r="L315" s="1" t="s">
        <v>23</v>
      </c>
      <c r="M315" s="1" t="s">
        <v>36</v>
      </c>
    </row>
    <row r="316" spans="1:13" x14ac:dyDescent="0.3">
      <c r="A316" s="1" t="s">
        <v>652</v>
      </c>
      <c r="B316" s="1" t="s">
        <v>573</v>
      </c>
      <c r="C316" s="1" t="s">
        <v>71</v>
      </c>
      <c r="D316" s="1" t="s">
        <v>28</v>
      </c>
      <c r="E316" s="1" t="s">
        <v>51</v>
      </c>
      <c r="F316" s="1" t="s">
        <v>52</v>
      </c>
      <c r="G316" s="1" t="s">
        <v>42</v>
      </c>
      <c r="H316" s="1" t="s">
        <v>53</v>
      </c>
      <c r="I316" s="1" t="s">
        <v>54</v>
      </c>
      <c r="J316" s="1" t="s">
        <v>55</v>
      </c>
      <c r="K316" s="1" t="s">
        <v>114</v>
      </c>
      <c r="L316" s="1" t="s">
        <v>46</v>
      </c>
      <c r="M316" s="1" t="s">
        <v>36</v>
      </c>
    </row>
    <row r="317" spans="1:13" x14ac:dyDescent="0.3">
      <c r="A317" s="1" t="s">
        <v>653</v>
      </c>
      <c r="B317" s="1" t="s">
        <v>429</v>
      </c>
      <c r="C317" s="1" t="s">
        <v>63</v>
      </c>
      <c r="D317" s="1" t="s">
        <v>124</v>
      </c>
      <c r="E317" s="1" t="s">
        <v>89</v>
      </c>
      <c r="F317" s="1" t="s">
        <v>90</v>
      </c>
      <c r="G317" s="1" t="s">
        <v>74</v>
      </c>
      <c r="H317" s="1" t="s">
        <v>127</v>
      </c>
      <c r="I317" s="1" t="s">
        <v>92</v>
      </c>
      <c r="J317" s="1" t="s">
        <v>93</v>
      </c>
      <c r="K317" s="1" t="s">
        <v>60</v>
      </c>
      <c r="L317" s="1" t="s">
        <v>46</v>
      </c>
      <c r="M317" s="1" t="s">
        <v>36</v>
      </c>
    </row>
    <row r="318" spans="1:13" x14ac:dyDescent="0.3">
      <c r="A318" s="1" t="s">
        <v>654</v>
      </c>
      <c r="B318" s="1" t="s">
        <v>655</v>
      </c>
      <c r="C318" s="1" t="s">
        <v>145</v>
      </c>
      <c r="D318" s="1" t="s">
        <v>59</v>
      </c>
      <c r="E318" s="1" t="s">
        <v>89</v>
      </c>
      <c r="F318" s="1" t="s">
        <v>90</v>
      </c>
      <c r="G318" s="1" t="s">
        <v>74</v>
      </c>
      <c r="H318" s="1" t="s">
        <v>32</v>
      </c>
      <c r="I318" s="1" t="s">
        <v>92</v>
      </c>
      <c r="J318" s="1" t="s">
        <v>93</v>
      </c>
      <c r="K318" s="1" t="s">
        <v>35</v>
      </c>
      <c r="L318" s="1" t="s">
        <v>23</v>
      </c>
      <c r="M318" s="1" t="s">
        <v>36</v>
      </c>
    </row>
    <row r="319" spans="1:13" x14ac:dyDescent="0.3">
      <c r="A319" s="1" t="s">
        <v>656</v>
      </c>
      <c r="B319" s="1" t="s">
        <v>591</v>
      </c>
      <c r="C319" s="1" t="s">
        <v>71</v>
      </c>
      <c r="D319" s="1" t="s">
        <v>28</v>
      </c>
      <c r="E319" s="1" t="s">
        <v>40</v>
      </c>
      <c r="F319" s="1" t="s">
        <v>41</v>
      </c>
      <c r="G319" s="1" t="s">
        <v>42</v>
      </c>
      <c r="H319" s="1" t="s">
        <v>127</v>
      </c>
      <c r="I319" s="1" t="s">
        <v>44</v>
      </c>
      <c r="J319" s="1" t="s">
        <v>45</v>
      </c>
      <c r="K319" s="1" t="s">
        <v>35</v>
      </c>
      <c r="L319" s="1" t="s">
        <v>46</v>
      </c>
      <c r="M319" s="1" t="s">
        <v>36</v>
      </c>
    </row>
    <row r="320" spans="1:13" x14ac:dyDescent="0.3">
      <c r="A320" s="1" t="s">
        <v>657</v>
      </c>
      <c r="B320" s="1" t="s">
        <v>122</v>
      </c>
      <c r="C320" s="1" t="s">
        <v>99</v>
      </c>
      <c r="D320" s="1" t="s">
        <v>124</v>
      </c>
      <c r="E320" s="1" t="s">
        <v>72</v>
      </c>
      <c r="F320" s="1" t="s">
        <v>73</v>
      </c>
      <c r="G320" s="1" t="s">
        <v>74</v>
      </c>
      <c r="H320" s="1" t="s">
        <v>149</v>
      </c>
      <c r="I320" s="1" t="s">
        <v>431</v>
      </c>
      <c r="J320" s="1" t="s">
        <v>76</v>
      </c>
      <c r="K320" s="1" t="s">
        <v>20</v>
      </c>
      <c r="L320" s="1" t="s">
        <v>46</v>
      </c>
      <c r="M320" s="1" t="s">
        <v>36</v>
      </c>
    </row>
    <row r="321" spans="1:13" x14ac:dyDescent="0.3">
      <c r="A321" s="1" t="s">
        <v>658</v>
      </c>
      <c r="B321" s="1" t="s">
        <v>598</v>
      </c>
      <c r="C321" s="1" t="s">
        <v>364</v>
      </c>
      <c r="D321" s="1" t="s">
        <v>156</v>
      </c>
      <c r="E321" s="1" t="s">
        <v>64</v>
      </c>
      <c r="F321" s="1" t="s">
        <v>65</v>
      </c>
      <c r="G321" s="1" t="s">
        <v>42</v>
      </c>
      <c r="H321" s="1" t="s">
        <v>91</v>
      </c>
      <c r="I321" s="1" t="s">
        <v>67</v>
      </c>
      <c r="J321" s="1" t="s">
        <v>68</v>
      </c>
      <c r="K321" s="1" t="s">
        <v>114</v>
      </c>
      <c r="L321" s="1" t="s">
        <v>46</v>
      </c>
      <c r="M321" s="1" t="s">
        <v>36</v>
      </c>
    </row>
    <row r="322" spans="1:13" x14ac:dyDescent="0.3">
      <c r="A322" s="1" t="s">
        <v>659</v>
      </c>
      <c r="B322" s="1" t="s">
        <v>660</v>
      </c>
      <c r="C322" s="1" t="s">
        <v>49</v>
      </c>
      <c r="D322" s="1" t="s">
        <v>124</v>
      </c>
      <c r="E322" s="1" t="s">
        <v>51</v>
      </c>
      <c r="F322" s="1" t="s">
        <v>52</v>
      </c>
      <c r="G322" s="1" t="s">
        <v>42</v>
      </c>
      <c r="H322" s="1" t="s">
        <v>85</v>
      </c>
      <c r="I322" s="1" t="s">
        <v>54</v>
      </c>
      <c r="J322" s="1" t="s">
        <v>55</v>
      </c>
      <c r="K322" s="1" t="s">
        <v>20</v>
      </c>
      <c r="L322" s="1" t="s">
        <v>46</v>
      </c>
      <c r="M322" s="1" t="s">
        <v>36</v>
      </c>
    </row>
    <row r="323" spans="1:13" x14ac:dyDescent="0.3">
      <c r="A323" s="1" t="s">
        <v>661</v>
      </c>
      <c r="B323" s="1" t="s">
        <v>409</v>
      </c>
      <c r="C323" s="1" t="s">
        <v>345</v>
      </c>
      <c r="D323" s="1" t="s">
        <v>28</v>
      </c>
      <c r="E323" s="1" t="s">
        <v>29</v>
      </c>
      <c r="F323" s="1" t="s">
        <v>30</v>
      </c>
      <c r="G323" s="1" t="s">
        <v>31</v>
      </c>
      <c r="H323" s="1" t="s">
        <v>127</v>
      </c>
      <c r="I323" s="1" t="s">
        <v>33</v>
      </c>
      <c r="J323" s="1" t="s">
        <v>34</v>
      </c>
      <c r="K323" s="1" t="s">
        <v>35</v>
      </c>
      <c r="L323" s="1" t="s">
        <v>23</v>
      </c>
      <c r="M323" s="1" t="s">
        <v>36</v>
      </c>
    </row>
    <row r="324" spans="1:13" x14ac:dyDescent="0.3">
      <c r="A324" s="1" t="s">
        <v>662</v>
      </c>
      <c r="B324" s="1" t="s">
        <v>187</v>
      </c>
      <c r="C324" s="1" t="s">
        <v>238</v>
      </c>
      <c r="D324" s="1" t="s">
        <v>124</v>
      </c>
      <c r="E324" s="1" t="s">
        <v>89</v>
      </c>
      <c r="F324" s="1" t="s">
        <v>90</v>
      </c>
      <c r="G324" s="1" t="s">
        <v>74</v>
      </c>
      <c r="H324" s="1" t="s">
        <v>43</v>
      </c>
      <c r="I324" s="1" t="s">
        <v>92</v>
      </c>
      <c r="J324" s="1" t="s">
        <v>93</v>
      </c>
      <c r="K324" s="1" t="s">
        <v>60</v>
      </c>
      <c r="L324" s="1" t="s">
        <v>23</v>
      </c>
      <c r="M324" s="1" t="s">
        <v>36</v>
      </c>
    </row>
    <row r="325" spans="1:13" x14ac:dyDescent="0.3">
      <c r="A325" s="1" t="s">
        <v>663</v>
      </c>
      <c r="B325" s="1" t="s">
        <v>62</v>
      </c>
      <c r="C325" s="1" t="s">
        <v>88</v>
      </c>
      <c r="D325" s="1" t="s">
        <v>28</v>
      </c>
      <c r="E325" s="1" t="s">
        <v>89</v>
      </c>
      <c r="F325" s="1" t="s">
        <v>90</v>
      </c>
      <c r="G325" s="1" t="s">
        <v>74</v>
      </c>
      <c r="H325" s="1" t="s">
        <v>53</v>
      </c>
      <c r="I325" s="1" t="s">
        <v>92</v>
      </c>
      <c r="J325" s="1" t="s">
        <v>93</v>
      </c>
      <c r="K325" s="1" t="s">
        <v>114</v>
      </c>
      <c r="L325" s="1" t="s">
        <v>23</v>
      </c>
      <c r="M325" s="1" t="s">
        <v>36</v>
      </c>
    </row>
    <row r="326" spans="1:13" x14ac:dyDescent="0.3">
      <c r="A326" s="1" t="s">
        <v>664</v>
      </c>
      <c r="B326" s="1" t="s">
        <v>113</v>
      </c>
      <c r="C326" s="1" t="s">
        <v>497</v>
      </c>
      <c r="D326" s="1" t="s">
        <v>124</v>
      </c>
      <c r="E326" s="1" t="s">
        <v>29</v>
      </c>
      <c r="F326" s="1" t="s">
        <v>30</v>
      </c>
      <c r="G326" s="1" t="s">
        <v>31</v>
      </c>
      <c r="H326" s="1" t="s">
        <v>149</v>
      </c>
      <c r="I326" s="1" t="s">
        <v>33</v>
      </c>
      <c r="J326" s="1" t="s">
        <v>34</v>
      </c>
      <c r="K326" s="1" t="s">
        <v>60</v>
      </c>
      <c r="L326" s="1" t="s">
        <v>46</v>
      </c>
      <c r="M326" s="1" t="s">
        <v>36</v>
      </c>
    </row>
    <row r="327" spans="1:13" x14ac:dyDescent="0.3">
      <c r="A327" s="1" t="s">
        <v>665</v>
      </c>
      <c r="B327" s="1" t="s">
        <v>221</v>
      </c>
      <c r="C327" s="1" t="s">
        <v>260</v>
      </c>
      <c r="D327" s="1" t="s">
        <v>50</v>
      </c>
      <c r="E327" s="1" t="s">
        <v>64</v>
      </c>
      <c r="F327" s="1" t="s">
        <v>65</v>
      </c>
      <c r="G327" s="1" t="s">
        <v>42</v>
      </c>
      <c r="H327" s="1" t="s">
        <v>85</v>
      </c>
      <c r="I327" s="1" t="s">
        <v>67</v>
      </c>
      <c r="J327" s="1" t="s">
        <v>68</v>
      </c>
      <c r="K327" s="1" t="s">
        <v>114</v>
      </c>
      <c r="L327" s="1" t="s">
        <v>23</v>
      </c>
      <c r="M327" s="1" t="s">
        <v>36</v>
      </c>
    </row>
    <row r="328" spans="1:13" x14ac:dyDescent="0.3">
      <c r="A328" s="1" t="s">
        <v>666</v>
      </c>
      <c r="B328" s="1" t="s">
        <v>667</v>
      </c>
      <c r="C328" s="1" t="s">
        <v>194</v>
      </c>
      <c r="D328" s="1" t="s">
        <v>59</v>
      </c>
      <c r="E328" s="1" t="s">
        <v>106</v>
      </c>
      <c r="F328" s="1" t="s">
        <v>107</v>
      </c>
      <c r="G328" s="1" t="s">
        <v>31</v>
      </c>
      <c r="H328" s="1" t="s">
        <v>66</v>
      </c>
      <c r="I328" s="1" t="s">
        <v>34</v>
      </c>
      <c r="J328" s="1" t="s">
        <v>108</v>
      </c>
      <c r="K328" s="1" t="s">
        <v>60</v>
      </c>
      <c r="L328" s="1" t="s">
        <v>46</v>
      </c>
      <c r="M328" s="1" t="s">
        <v>36</v>
      </c>
    </row>
    <row r="329" spans="1:13" x14ac:dyDescent="0.3">
      <c r="A329" s="1" t="s">
        <v>668</v>
      </c>
      <c r="B329" s="1" t="s">
        <v>247</v>
      </c>
      <c r="C329" s="1" t="s">
        <v>289</v>
      </c>
      <c r="D329" s="1" t="s">
        <v>28</v>
      </c>
      <c r="E329" s="1" t="s">
        <v>106</v>
      </c>
      <c r="F329" s="1" t="s">
        <v>107</v>
      </c>
      <c r="G329" s="1" t="s">
        <v>31</v>
      </c>
      <c r="H329" s="1" t="s">
        <v>91</v>
      </c>
      <c r="I329" s="1" t="s">
        <v>34</v>
      </c>
      <c r="J329" s="1" t="s">
        <v>108</v>
      </c>
      <c r="K329" s="1" t="s">
        <v>60</v>
      </c>
      <c r="L329" s="1" t="s">
        <v>23</v>
      </c>
      <c r="M329" s="1" t="s">
        <v>36</v>
      </c>
    </row>
    <row r="330" spans="1:13" x14ac:dyDescent="0.3">
      <c r="A330" s="1" t="s">
        <v>669</v>
      </c>
      <c r="B330" s="1" t="s">
        <v>292</v>
      </c>
      <c r="C330" s="1" t="s">
        <v>293</v>
      </c>
      <c r="D330" s="1" t="s">
        <v>50</v>
      </c>
      <c r="E330" s="1" t="s">
        <v>89</v>
      </c>
      <c r="F330" s="1" t="s">
        <v>90</v>
      </c>
      <c r="G330" s="1" t="s">
        <v>19</v>
      </c>
      <c r="H330" s="1" t="s">
        <v>85</v>
      </c>
      <c r="I330" s="1" t="s">
        <v>92</v>
      </c>
      <c r="J330" s="1" t="s">
        <v>93</v>
      </c>
      <c r="K330" s="1" t="s">
        <v>35</v>
      </c>
      <c r="L330" s="1" t="s">
        <v>46</v>
      </c>
      <c r="M330" s="1" t="s">
        <v>36</v>
      </c>
    </row>
    <row r="331" spans="1:13" x14ac:dyDescent="0.3">
      <c r="A331" s="1" t="s">
        <v>670</v>
      </c>
      <c r="B331" s="1" t="s">
        <v>288</v>
      </c>
      <c r="C331" s="1" t="s">
        <v>671</v>
      </c>
      <c r="D331" s="1" t="s">
        <v>28</v>
      </c>
      <c r="E331" s="1" t="s">
        <v>89</v>
      </c>
      <c r="F331" s="1" t="s">
        <v>90</v>
      </c>
      <c r="G331" s="1" t="s">
        <v>74</v>
      </c>
      <c r="H331" s="1" t="s">
        <v>127</v>
      </c>
      <c r="I331" s="1" t="s">
        <v>92</v>
      </c>
      <c r="J331" s="1" t="s">
        <v>93</v>
      </c>
      <c r="K331" s="1" t="s">
        <v>22</v>
      </c>
      <c r="L331" s="1" t="s">
        <v>23</v>
      </c>
      <c r="M331" s="1" t="s">
        <v>36</v>
      </c>
    </row>
    <row r="332" spans="1:13" x14ac:dyDescent="0.3">
      <c r="A332" s="1" t="s">
        <v>672</v>
      </c>
      <c r="B332" s="1" t="s">
        <v>409</v>
      </c>
      <c r="C332" s="1" t="s">
        <v>446</v>
      </c>
      <c r="D332" s="1" t="s">
        <v>59</v>
      </c>
      <c r="E332" s="1" t="s">
        <v>89</v>
      </c>
      <c r="F332" s="1" t="s">
        <v>90</v>
      </c>
      <c r="G332" s="1" t="s">
        <v>74</v>
      </c>
      <c r="H332" s="1" t="s">
        <v>66</v>
      </c>
      <c r="I332" s="1" t="s">
        <v>92</v>
      </c>
      <c r="J332" s="1" t="s">
        <v>93</v>
      </c>
      <c r="K332" s="1" t="s">
        <v>35</v>
      </c>
      <c r="L332" s="1" t="s">
        <v>46</v>
      </c>
      <c r="M332" s="1" t="s">
        <v>36</v>
      </c>
    </row>
    <row r="333" spans="1:13" x14ac:dyDescent="0.3">
      <c r="A333" s="1" t="s">
        <v>673</v>
      </c>
      <c r="B333" s="1" t="s">
        <v>627</v>
      </c>
      <c r="C333" s="1" t="s">
        <v>117</v>
      </c>
      <c r="D333" s="1" t="s">
        <v>59</v>
      </c>
      <c r="E333" s="1" t="s">
        <v>72</v>
      </c>
      <c r="F333" s="1" t="s">
        <v>73</v>
      </c>
      <c r="G333" s="1" t="s">
        <v>74</v>
      </c>
      <c r="H333" s="1" t="s">
        <v>66</v>
      </c>
      <c r="I333" s="1" t="s">
        <v>75</v>
      </c>
      <c r="J333" s="1" t="s">
        <v>76</v>
      </c>
      <c r="K333" s="1" t="s">
        <v>60</v>
      </c>
      <c r="L333" s="1" t="s">
        <v>46</v>
      </c>
      <c r="M333" s="1" t="s">
        <v>36</v>
      </c>
    </row>
    <row r="334" spans="1:13" x14ac:dyDescent="0.3">
      <c r="A334" s="1" t="s">
        <v>674</v>
      </c>
      <c r="B334" s="1" t="s">
        <v>543</v>
      </c>
      <c r="C334" s="1" t="s">
        <v>15</v>
      </c>
      <c r="D334" s="1" t="s">
        <v>28</v>
      </c>
      <c r="E334" s="1" t="s">
        <v>106</v>
      </c>
      <c r="F334" s="1" t="s">
        <v>107</v>
      </c>
      <c r="G334" s="1" t="s">
        <v>31</v>
      </c>
      <c r="H334" s="1" t="s">
        <v>85</v>
      </c>
      <c r="I334" s="1" t="s">
        <v>34</v>
      </c>
      <c r="J334" s="1" t="s">
        <v>108</v>
      </c>
      <c r="K334" s="1" t="s">
        <v>20</v>
      </c>
      <c r="L334" s="1" t="s">
        <v>46</v>
      </c>
      <c r="M334" s="1" t="s">
        <v>36</v>
      </c>
    </row>
    <row r="335" spans="1:13" x14ac:dyDescent="0.3">
      <c r="A335" s="1" t="s">
        <v>675</v>
      </c>
      <c r="B335" s="1" t="s">
        <v>676</v>
      </c>
      <c r="C335" s="1" t="s">
        <v>677</v>
      </c>
      <c r="D335" s="1" t="s">
        <v>124</v>
      </c>
      <c r="E335" s="1" t="s">
        <v>64</v>
      </c>
      <c r="F335" s="1" t="s">
        <v>65</v>
      </c>
      <c r="G335" s="1" t="s">
        <v>42</v>
      </c>
      <c r="H335" s="1" t="s">
        <v>127</v>
      </c>
      <c r="I335" s="1" t="s">
        <v>67</v>
      </c>
      <c r="J335" s="1" t="s">
        <v>68</v>
      </c>
      <c r="K335" s="1" t="s">
        <v>60</v>
      </c>
      <c r="L335" s="1" t="s">
        <v>23</v>
      </c>
      <c r="M335" s="1" t="s">
        <v>36</v>
      </c>
    </row>
    <row r="336" spans="1:13" x14ac:dyDescent="0.3">
      <c r="A336" s="1" t="s">
        <v>678</v>
      </c>
      <c r="B336" s="1" t="s">
        <v>87</v>
      </c>
      <c r="C336" s="1" t="s">
        <v>243</v>
      </c>
      <c r="D336" s="1" t="s">
        <v>124</v>
      </c>
      <c r="E336" s="1" t="s">
        <v>89</v>
      </c>
      <c r="F336" s="1" t="s">
        <v>90</v>
      </c>
      <c r="G336" s="1" t="s">
        <v>74</v>
      </c>
      <c r="H336" s="1" t="s">
        <v>149</v>
      </c>
      <c r="I336" s="1" t="s">
        <v>92</v>
      </c>
      <c r="J336" s="1" t="s">
        <v>93</v>
      </c>
      <c r="K336" s="1" t="s">
        <v>20</v>
      </c>
      <c r="L336" s="1" t="s">
        <v>23</v>
      </c>
      <c r="M336" s="1" t="s">
        <v>36</v>
      </c>
    </row>
    <row r="337" spans="1:13" x14ac:dyDescent="0.3">
      <c r="A337" s="1" t="s">
        <v>679</v>
      </c>
      <c r="B337" s="1" t="s">
        <v>483</v>
      </c>
      <c r="C337" s="1" t="s">
        <v>446</v>
      </c>
      <c r="D337" s="1" t="s">
        <v>50</v>
      </c>
      <c r="E337" s="1" t="s">
        <v>64</v>
      </c>
      <c r="F337" s="1" t="s">
        <v>65</v>
      </c>
      <c r="G337" s="1" t="s">
        <v>42</v>
      </c>
      <c r="H337" s="1" t="s">
        <v>53</v>
      </c>
      <c r="I337" s="1" t="s">
        <v>67</v>
      </c>
      <c r="J337" s="1" t="s">
        <v>68</v>
      </c>
      <c r="K337" s="1" t="s">
        <v>20</v>
      </c>
      <c r="L337" s="1" t="s">
        <v>46</v>
      </c>
      <c r="M337" s="1" t="s">
        <v>24</v>
      </c>
    </row>
    <row r="338" spans="1:13" x14ac:dyDescent="0.3">
      <c r="A338" s="1" t="s">
        <v>680</v>
      </c>
      <c r="B338" s="1" t="s">
        <v>681</v>
      </c>
      <c r="C338" s="1" t="s">
        <v>243</v>
      </c>
      <c r="D338" s="1" t="s">
        <v>124</v>
      </c>
      <c r="E338" s="1" t="s">
        <v>89</v>
      </c>
      <c r="F338" s="1" t="s">
        <v>90</v>
      </c>
      <c r="G338" s="1" t="s">
        <v>74</v>
      </c>
      <c r="H338" s="1" t="s">
        <v>66</v>
      </c>
      <c r="I338" s="1" t="s">
        <v>92</v>
      </c>
      <c r="J338" s="1" t="s">
        <v>93</v>
      </c>
      <c r="K338" s="1" t="s">
        <v>20</v>
      </c>
      <c r="L338" s="1" t="s">
        <v>46</v>
      </c>
      <c r="M338" s="1" t="s">
        <v>36</v>
      </c>
    </row>
    <row r="339" spans="1:13" x14ac:dyDescent="0.3">
      <c r="A339" s="1" t="s">
        <v>682</v>
      </c>
      <c r="B339" s="1" t="s">
        <v>598</v>
      </c>
      <c r="C339" s="1" t="s">
        <v>132</v>
      </c>
      <c r="D339" s="1" t="s">
        <v>124</v>
      </c>
      <c r="E339" s="1" t="s">
        <v>64</v>
      </c>
      <c r="F339" s="1" t="s">
        <v>65</v>
      </c>
      <c r="G339" s="1" t="s">
        <v>42</v>
      </c>
      <c r="H339" s="1" t="s">
        <v>43</v>
      </c>
      <c r="I339" s="1" t="s">
        <v>67</v>
      </c>
      <c r="J339" s="1" t="s">
        <v>68</v>
      </c>
      <c r="K339" s="1" t="s">
        <v>60</v>
      </c>
      <c r="L339" s="1" t="s">
        <v>23</v>
      </c>
      <c r="M339" s="1" t="s">
        <v>36</v>
      </c>
    </row>
    <row r="340" spans="1:13" x14ac:dyDescent="0.3">
      <c r="A340" s="1" t="s">
        <v>683</v>
      </c>
      <c r="B340" s="1" t="s">
        <v>684</v>
      </c>
      <c r="C340" s="1" t="s">
        <v>279</v>
      </c>
      <c r="D340" s="1" t="s">
        <v>59</v>
      </c>
      <c r="E340" s="1" t="s">
        <v>51</v>
      </c>
      <c r="F340" s="1" t="s">
        <v>52</v>
      </c>
      <c r="G340" s="1" t="s">
        <v>42</v>
      </c>
      <c r="H340" s="1" t="s">
        <v>43</v>
      </c>
      <c r="I340" s="1" t="s">
        <v>54</v>
      </c>
      <c r="J340" s="1" t="s">
        <v>55</v>
      </c>
      <c r="K340" s="1" t="s">
        <v>114</v>
      </c>
      <c r="L340" s="1" t="s">
        <v>46</v>
      </c>
      <c r="M340" s="1" t="s">
        <v>36</v>
      </c>
    </row>
    <row r="341" spans="1:13" x14ac:dyDescent="0.3">
      <c r="A341" s="1" t="s">
        <v>685</v>
      </c>
      <c r="B341" s="1" t="s">
        <v>48</v>
      </c>
      <c r="C341" s="1" t="s">
        <v>536</v>
      </c>
      <c r="D341" s="1" t="s">
        <v>28</v>
      </c>
      <c r="E341" s="1" t="s">
        <v>64</v>
      </c>
      <c r="F341" s="1" t="s">
        <v>65</v>
      </c>
      <c r="G341" s="1" t="s">
        <v>42</v>
      </c>
      <c r="H341" s="1" t="s">
        <v>127</v>
      </c>
      <c r="I341" s="1" t="s">
        <v>67</v>
      </c>
      <c r="J341" s="1" t="s">
        <v>68</v>
      </c>
      <c r="K341" s="1" t="s">
        <v>114</v>
      </c>
      <c r="L341" s="1" t="s">
        <v>23</v>
      </c>
      <c r="M341" s="1" t="s">
        <v>36</v>
      </c>
    </row>
    <row r="342" spans="1:13" x14ac:dyDescent="0.3">
      <c r="A342" s="1" t="s">
        <v>686</v>
      </c>
      <c r="B342" s="1" t="s">
        <v>424</v>
      </c>
      <c r="C342" s="1" t="s">
        <v>610</v>
      </c>
      <c r="D342" s="1" t="s">
        <v>50</v>
      </c>
      <c r="E342" s="1" t="s">
        <v>29</v>
      </c>
      <c r="F342" s="1" t="s">
        <v>30</v>
      </c>
      <c r="G342" s="1" t="s">
        <v>31</v>
      </c>
      <c r="H342" s="1" t="s">
        <v>53</v>
      </c>
      <c r="I342" s="1" t="s">
        <v>33</v>
      </c>
      <c r="J342" s="1" t="s">
        <v>34</v>
      </c>
      <c r="K342" s="1" t="s">
        <v>35</v>
      </c>
      <c r="L342" s="1" t="s">
        <v>23</v>
      </c>
      <c r="M342" s="1" t="s">
        <v>36</v>
      </c>
    </row>
    <row r="343" spans="1:13" x14ac:dyDescent="0.3">
      <c r="A343" s="1" t="s">
        <v>687</v>
      </c>
      <c r="B343" s="1" t="s">
        <v>688</v>
      </c>
      <c r="C343" s="1" t="s">
        <v>671</v>
      </c>
      <c r="D343" s="1" t="s">
        <v>28</v>
      </c>
      <c r="E343" s="1" t="s">
        <v>89</v>
      </c>
      <c r="F343" s="1" t="s">
        <v>90</v>
      </c>
      <c r="G343" s="1" t="s">
        <v>74</v>
      </c>
      <c r="H343" s="1" t="s">
        <v>53</v>
      </c>
      <c r="I343" s="1" t="s">
        <v>92</v>
      </c>
      <c r="J343" s="1" t="s">
        <v>93</v>
      </c>
      <c r="K343" s="1" t="s">
        <v>114</v>
      </c>
      <c r="L343" s="1" t="s">
        <v>46</v>
      </c>
      <c r="M343" s="1" t="s">
        <v>36</v>
      </c>
    </row>
    <row r="344" spans="1:13" x14ac:dyDescent="0.3">
      <c r="A344" s="1" t="s">
        <v>689</v>
      </c>
      <c r="B344" s="1" t="s">
        <v>392</v>
      </c>
      <c r="C344" s="1" t="s">
        <v>325</v>
      </c>
      <c r="D344" s="1" t="s">
        <v>50</v>
      </c>
      <c r="E344" s="1" t="s">
        <v>17</v>
      </c>
      <c r="F344" s="1" t="s">
        <v>18</v>
      </c>
      <c r="G344" s="1" t="s">
        <v>74</v>
      </c>
      <c r="H344" s="1" t="s">
        <v>91</v>
      </c>
      <c r="I344" s="1" t="s">
        <v>80</v>
      </c>
      <c r="J344" s="1" t="s">
        <v>81</v>
      </c>
      <c r="K344" s="1" t="s">
        <v>114</v>
      </c>
      <c r="L344" s="1" t="s">
        <v>46</v>
      </c>
      <c r="M344" s="1" t="s">
        <v>36</v>
      </c>
    </row>
    <row r="345" spans="1:13" x14ac:dyDescent="0.3">
      <c r="A345" s="1" t="s">
        <v>690</v>
      </c>
      <c r="B345" s="1" t="s">
        <v>420</v>
      </c>
      <c r="C345" s="1" t="s">
        <v>191</v>
      </c>
      <c r="D345" s="1" t="s">
        <v>50</v>
      </c>
      <c r="E345" s="1" t="s">
        <v>106</v>
      </c>
      <c r="F345" s="1" t="s">
        <v>107</v>
      </c>
      <c r="G345" s="1" t="s">
        <v>31</v>
      </c>
      <c r="H345" s="1" t="s">
        <v>91</v>
      </c>
      <c r="I345" s="1" t="s">
        <v>34</v>
      </c>
      <c r="J345" s="1" t="s">
        <v>108</v>
      </c>
      <c r="K345" s="1" t="s">
        <v>114</v>
      </c>
      <c r="L345" s="1" t="s">
        <v>23</v>
      </c>
      <c r="M345" s="1" t="s">
        <v>36</v>
      </c>
    </row>
    <row r="346" spans="1:13" x14ac:dyDescent="0.3">
      <c r="A346" s="1" t="s">
        <v>691</v>
      </c>
      <c r="B346" s="1" t="s">
        <v>692</v>
      </c>
      <c r="C346" s="1" t="s">
        <v>318</v>
      </c>
      <c r="D346" s="1" t="s">
        <v>28</v>
      </c>
      <c r="E346" s="1" t="s">
        <v>17</v>
      </c>
      <c r="F346" s="1" t="s">
        <v>18</v>
      </c>
      <c r="G346" s="1" t="s">
        <v>74</v>
      </c>
      <c r="H346" s="1" t="s">
        <v>149</v>
      </c>
      <c r="I346" s="1" t="s">
        <v>80</v>
      </c>
      <c r="J346" s="1" t="s">
        <v>81</v>
      </c>
      <c r="K346" s="1" t="s">
        <v>60</v>
      </c>
      <c r="L346" s="1" t="s">
        <v>23</v>
      </c>
      <c r="M346" s="1" t="s">
        <v>36</v>
      </c>
    </row>
    <row r="347" spans="1:13" x14ac:dyDescent="0.3">
      <c r="A347" s="1" t="s">
        <v>693</v>
      </c>
      <c r="B347" s="1" t="s">
        <v>524</v>
      </c>
      <c r="C347" s="1" t="s">
        <v>96</v>
      </c>
      <c r="D347" s="1" t="s">
        <v>59</v>
      </c>
      <c r="E347" s="1" t="s">
        <v>40</v>
      </c>
      <c r="F347" s="1" t="s">
        <v>41</v>
      </c>
      <c r="G347" s="1" t="s">
        <v>42</v>
      </c>
      <c r="H347" s="1" t="s">
        <v>127</v>
      </c>
      <c r="I347" s="1" t="s">
        <v>44</v>
      </c>
      <c r="J347" s="1" t="s">
        <v>45</v>
      </c>
      <c r="K347" s="1" t="s">
        <v>114</v>
      </c>
      <c r="L347" s="1" t="s">
        <v>23</v>
      </c>
      <c r="M347" s="1" t="s">
        <v>172</v>
      </c>
    </row>
    <row r="348" spans="1:13" x14ac:dyDescent="0.3">
      <c r="A348" s="1" t="s">
        <v>694</v>
      </c>
      <c r="B348" s="1" t="s">
        <v>591</v>
      </c>
      <c r="C348" s="1" t="s">
        <v>271</v>
      </c>
      <c r="D348" s="1" t="s">
        <v>50</v>
      </c>
      <c r="E348" s="1" t="s">
        <v>17</v>
      </c>
      <c r="F348" s="1" t="s">
        <v>18</v>
      </c>
      <c r="G348" s="1" t="s">
        <v>74</v>
      </c>
      <c r="H348" s="1" t="s">
        <v>32</v>
      </c>
      <c r="I348" s="1" t="s">
        <v>80</v>
      </c>
      <c r="J348" s="1" t="s">
        <v>81</v>
      </c>
      <c r="K348" s="1" t="s">
        <v>35</v>
      </c>
      <c r="L348" s="1" t="s">
        <v>23</v>
      </c>
      <c r="M348" s="1" t="s">
        <v>36</v>
      </c>
    </row>
    <row r="349" spans="1:13" x14ac:dyDescent="0.3">
      <c r="A349" s="1" t="s">
        <v>695</v>
      </c>
      <c r="B349" s="1" t="s">
        <v>193</v>
      </c>
      <c r="C349" s="1" t="s">
        <v>318</v>
      </c>
      <c r="D349" s="1" t="s">
        <v>28</v>
      </c>
      <c r="E349" s="1" t="s">
        <v>89</v>
      </c>
      <c r="F349" s="1" t="s">
        <v>90</v>
      </c>
      <c r="G349" s="1" t="s">
        <v>74</v>
      </c>
      <c r="H349" s="1" t="s">
        <v>53</v>
      </c>
      <c r="I349" s="1" t="s">
        <v>92</v>
      </c>
      <c r="J349" s="1" t="s">
        <v>93</v>
      </c>
      <c r="K349" s="1" t="s">
        <v>20</v>
      </c>
      <c r="L349" s="1" t="s">
        <v>46</v>
      </c>
      <c r="M349" s="1" t="s">
        <v>36</v>
      </c>
    </row>
    <row r="350" spans="1:13" x14ac:dyDescent="0.3">
      <c r="A350" s="1" t="s">
        <v>696</v>
      </c>
      <c r="B350" s="1" t="s">
        <v>57</v>
      </c>
      <c r="C350" s="1" t="s">
        <v>425</v>
      </c>
      <c r="D350" s="1" t="s">
        <v>233</v>
      </c>
      <c r="E350" s="1" t="s">
        <v>40</v>
      </c>
      <c r="F350" s="1" t="s">
        <v>41</v>
      </c>
      <c r="G350" s="1" t="s">
        <v>42</v>
      </c>
      <c r="H350" s="1" t="s">
        <v>53</v>
      </c>
      <c r="I350" s="1" t="s">
        <v>44</v>
      </c>
      <c r="J350" s="1" t="s">
        <v>45</v>
      </c>
      <c r="K350" s="1" t="s">
        <v>20</v>
      </c>
      <c r="L350" s="1" t="s">
        <v>23</v>
      </c>
      <c r="M350" s="1" t="s">
        <v>172</v>
      </c>
    </row>
    <row r="351" spans="1:13" x14ac:dyDescent="0.3">
      <c r="A351" s="1" t="s">
        <v>697</v>
      </c>
      <c r="B351" s="1" t="s">
        <v>598</v>
      </c>
      <c r="C351" s="1" t="s">
        <v>528</v>
      </c>
      <c r="D351" s="1" t="s">
        <v>50</v>
      </c>
      <c r="E351" s="1" t="s">
        <v>17</v>
      </c>
      <c r="F351" s="1" t="s">
        <v>18</v>
      </c>
      <c r="G351" s="1" t="s">
        <v>74</v>
      </c>
      <c r="H351" s="1" t="s">
        <v>43</v>
      </c>
      <c r="I351" s="1" t="s">
        <v>80</v>
      </c>
      <c r="J351" s="1" t="s">
        <v>81</v>
      </c>
      <c r="K351" s="1" t="s">
        <v>20</v>
      </c>
      <c r="L351" s="1" t="s">
        <v>46</v>
      </c>
      <c r="M351" s="1" t="s">
        <v>36</v>
      </c>
    </row>
    <row r="352" spans="1:13" x14ac:dyDescent="0.3">
      <c r="A352" s="1" t="s">
        <v>698</v>
      </c>
      <c r="B352" s="1" t="s">
        <v>209</v>
      </c>
      <c r="C352" s="1" t="s">
        <v>416</v>
      </c>
      <c r="D352" s="1" t="s">
        <v>28</v>
      </c>
      <c r="E352" s="1" t="s">
        <v>72</v>
      </c>
      <c r="F352" s="1" t="s">
        <v>73</v>
      </c>
      <c r="G352" s="1" t="s">
        <v>74</v>
      </c>
      <c r="H352" s="1" t="s">
        <v>85</v>
      </c>
      <c r="I352" s="1" t="s">
        <v>75</v>
      </c>
      <c r="J352" s="1" t="s">
        <v>76</v>
      </c>
      <c r="K352" s="1" t="s">
        <v>20</v>
      </c>
      <c r="L352" s="1" t="s">
        <v>23</v>
      </c>
      <c r="M352" s="1" t="s">
        <v>172</v>
      </c>
    </row>
    <row r="353" spans="1:13" x14ac:dyDescent="0.3">
      <c r="A353" s="1" t="s">
        <v>699</v>
      </c>
      <c r="B353" s="1" t="s">
        <v>317</v>
      </c>
      <c r="C353" s="1" t="s">
        <v>377</v>
      </c>
      <c r="D353" s="1" t="s">
        <v>50</v>
      </c>
      <c r="E353" s="1" t="s">
        <v>17</v>
      </c>
      <c r="F353" s="1" t="s">
        <v>18</v>
      </c>
      <c r="G353" s="1" t="s">
        <v>74</v>
      </c>
      <c r="H353" s="1" t="s">
        <v>85</v>
      </c>
      <c r="I353" s="1" t="s">
        <v>80</v>
      </c>
      <c r="J353" s="1" t="s">
        <v>81</v>
      </c>
      <c r="K353" s="1" t="s">
        <v>114</v>
      </c>
      <c r="L353" s="1" t="s">
        <v>46</v>
      </c>
      <c r="M353" s="1" t="s">
        <v>36</v>
      </c>
    </row>
    <row r="354" spans="1:13" x14ac:dyDescent="0.3">
      <c r="A354" s="1" t="s">
        <v>700</v>
      </c>
      <c r="B354" s="1" t="s">
        <v>57</v>
      </c>
      <c r="C354" s="1" t="s">
        <v>175</v>
      </c>
      <c r="D354" s="1" t="s">
        <v>124</v>
      </c>
      <c r="E354" s="1" t="s">
        <v>106</v>
      </c>
      <c r="F354" s="1" t="s">
        <v>107</v>
      </c>
      <c r="G354" s="1" t="s">
        <v>31</v>
      </c>
      <c r="H354" s="1" t="s">
        <v>32</v>
      </c>
      <c r="I354" s="1" t="s">
        <v>34</v>
      </c>
      <c r="J354" s="1" t="s">
        <v>108</v>
      </c>
      <c r="K354" s="1" t="s">
        <v>60</v>
      </c>
      <c r="L354" s="1" t="s">
        <v>23</v>
      </c>
      <c r="M354" s="1" t="s">
        <v>36</v>
      </c>
    </row>
    <row r="355" spans="1:13" x14ac:dyDescent="0.3">
      <c r="A355" s="1" t="s">
        <v>701</v>
      </c>
      <c r="B355" s="1" t="s">
        <v>429</v>
      </c>
      <c r="C355" s="1" t="s">
        <v>495</v>
      </c>
      <c r="D355" s="1" t="s">
        <v>124</v>
      </c>
      <c r="E355" s="1" t="s">
        <v>106</v>
      </c>
      <c r="F355" s="1" t="s">
        <v>107</v>
      </c>
      <c r="G355" s="1" t="s">
        <v>31</v>
      </c>
      <c r="H355" s="1" t="s">
        <v>149</v>
      </c>
      <c r="I355" s="1" t="s">
        <v>34</v>
      </c>
      <c r="J355" s="1" t="s">
        <v>108</v>
      </c>
      <c r="K355" s="1" t="s">
        <v>35</v>
      </c>
      <c r="L355" s="1" t="s">
        <v>46</v>
      </c>
      <c r="M355" s="1" t="s">
        <v>36</v>
      </c>
    </row>
    <row r="356" spans="1:13" x14ac:dyDescent="0.3">
      <c r="A356" s="1" t="s">
        <v>702</v>
      </c>
      <c r="B356" s="1" t="s">
        <v>292</v>
      </c>
      <c r="C356" s="1" t="s">
        <v>495</v>
      </c>
      <c r="D356" s="1" t="s">
        <v>124</v>
      </c>
      <c r="E356" s="1" t="s">
        <v>40</v>
      </c>
      <c r="F356" s="1" t="s">
        <v>41</v>
      </c>
      <c r="G356" s="1" t="s">
        <v>42</v>
      </c>
      <c r="H356" s="1" t="s">
        <v>91</v>
      </c>
      <c r="I356" s="1" t="s">
        <v>44</v>
      </c>
      <c r="J356" s="1" t="s">
        <v>45</v>
      </c>
      <c r="K356" s="1" t="s">
        <v>114</v>
      </c>
      <c r="L356" s="1" t="s">
        <v>23</v>
      </c>
      <c r="M356" s="1" t="s">
        <v>36</v>
      </c>
    </row>
    <row r="357" spans="1:13" x14ac:dyDescent="0.3">
      <c r="A357" s="1" t="s">
        <v>703</v>
      </c>
      <c r="B357" s="1" t="s">
        <v>433</v>
      </c>
      <c r="C357" s="1" t="s">
        <v>513</v>
      </c>
      <c r="D357" s="1" t="s">
        <v>16</v>
      </c>
      <c r="E357" s="1" t="s">
        <v>40</v>
      </c>
      <c r="F357" s="1" t="s">
        <v>41</v>
      </c>
      <c r="G357" s="1" t="s">
        <v>42</v>
      </c>
      <c r="H357" s="1" t="s">
        <v>66</v>
      </c>
      <c r="I357" s="1" t="s">
        <v>44</v>
      </c>
      <c r="J357" s="1" t="s">
        <v>45</v>
      </c>
      <c r="K357" s="1" t="s">
        <v>60</v>
      </c>
      <c r="L357" s="1" t="s">
        <v>23</v>
      </c>
      <c r="M357" s="1" t="s">
        <v>36</v>
      </c>
    </row>
    <row r="358" spans="1:13" x14ac:dyDescent="0.3">
      <c r="A358" s="1" t="s">
        <v>704</v>
      </c>
      <c r="B358" s="1" t="s">
        <v>265</v>
      </c>
      <c r="C358" s="1" t="s">
        <v>140</v>
      </c>
      <c r="D358" s="1" t="s">
        <v>28</v>
      </c>
      <c r="E358" s="1" t="s">
        <v>64</v>
      </c>
      <c r="F358" s="1" t="s">
        <v>65</v>
      </c>
      <c r="G358" s="1" t="s">
        <v>42</v>
      </c>
      <c r="H358" s="1" t="s">
        <v>85</v>
      </c>
      <c r="I358" s="1" t="s">
        <v>67</v>
      </c>
      <c r="J358" s="1" t="s">
        <v>16</v>
      </c>
      <c r="K358" s="1" t="s">
        <v>60</v>
      </c>
      <c r="L358" s="1" t="s">
        <v>46</v>
      </c>
      <c r="M358" s="1" t="s">
        <v>36</v>
      </c>
    </row>
    <row r="359" spans="1:13" x14ac:dyDescent="0.3">
      <c r="A359" s="1" t="s">
        <v>705</v>
      </c>
      <c r="B359" s="1" t="s">
        <v>557</v>
      </c>
      <c r="C359" s="1" t="s">
        <v>166</v>
      </c>
      <c r="D359" s="1" t="s">
        <v>124</v>
      </c>
      <c r="E359" s="1" t="s">
        <v>106</v>
      </c>
      <c r="F359" s="1" t="s">
        <v>107</v>
      </c>
      <c r="G359" s="1" t="s">
        <v>31</v>
      </c>
      <c r="H359" s="1" t="s">
        <v>43</v>
      </c>
      <c r="I359" s="1" t="s">
        <v>34</v>
      </c>
      <c r="J359" s="1" t="s">
        <v>108</v>
      </c>
      <c r="K359" s="1" t="s">
        <v>20</v>
      </c>
      <c r="L359" s="1" t="s">
        <v>23</v>
      </c>
      <c r="M359" s="1" t="s">
        <v>172</v>
      </c>
    </row>
    <row r="360" spans="1:13" x14ac:dyDescent="0.3">
      <c r="A360" s="1" t="s">
        <v>706</v>
      </c>
      <c r="B360" s="1" t="s">
        <v>386</v>
      </c>
      <c r="C360" s="1" t="s">
        <v>148</v>
      </c>
      <c r="D360" s="1" t="s">
        <v>124</v>
      </c>
      <c r="E360" s="1" t="s">
        <v>17</v>
      </c>
      <c r="F360" s="1" t="s">
        <v>18</v>
      </c>
      <c r="G360" s="1" t="s">
        <v>74</v>
      </c>
      <c r="H360" s="1" t="s">
        <v>66</v>
      </c>
      <c r="I360" s="1" t="s">
        <v>80</v>
      </c>
      <c r="J360" s="1" t="s">
        <v>81</v>
      </c>
      <c r="K360" s="1" t="s">
        <v>60</v>
      </c>
      <c r="L360" s="1" t="s">
        <v>23</v>
      </c>
      <c r="M360" s="1" t="s">
        <v>36</v>
      </c>
    </row>
    <row r="361" spans="1:13" x14ac:dyDescent="0.3">
      <c r="A361" s="1" t="s">
        <v>707</v>
      </c>
      <c r="B361" s="1" t="s">
        <v>360</v>
      </c>
      <c r="C361" s="1" t="s">
        <v>284</v>
      </c>
      <c r="D361" s="1" t="s">
        <v>50</v>
      </c>
      <c r="E361" s="1" t="s">
        <v>64</v>
      </c>
      <c r="F361" s="1" t="s">
        <v>65</v>
      </c>
      <c r="G361" s="1" t="s">
        <v>42</v>
      </c>
      <c r="H361" s="1" t="s">
        <v>149</v>
      </c>
      <c r="I361" s="1" t="s">
        <v>67</v>
      </c>
      <c r="J361" s="1" t="s">
        <v>68</v>
      </c>
      <c r="K361" s="1" t="s">
        <v>20</v>
      </c>
      <c r="L361" s="1" t="s">
        <v>46</v>
      </c>
      <c r="M361" s="1" t="s">
        <v>36</v>
      </c>
    </row>
    <row r="362" spans="1:13" x14ac:dyDescent="0.3">
      <c r="A362" s="1" t="s">
        <v>708</v>
      </c>
      <c r="B362" s="1" t="s">
        <v>480</v>
      </c>
      <c r="C362" s="1" t="s">
        <v>251</v>
      </c>
      <c r="D362" s="1" t="s">
        <v>59</v>
      </c>
      <c r="E362" s="1" t="s">
        <v>72</v>
      </c>
      <c r="F362" s="1" t="s">
        <v>73</v>
      </c>
      <c r="G362" s="1" t="s">
        <v>74</v>
      </c>
      <c r="H362" s="1" t="s">
        <v>53</v>
      </c>
      <c r="I362" s="1" t="s">
        <v>75</v>
      </c>
      <c r="J362" s="1" t="s">
        <v>76</v>
      </c>
      <c r="K362" s="1" t="s">
        <v>60</v>
      </c>
      <c r="L362" s="1" t="s">
        <v>46</v>
      </c>
      <c r="M362" s="1" t="s">
        <v>36</v>
      </c>
    </row>
    <row r="363" spans="1:13" x14ac:dyDescent="0.3">
      <c r="A363" s="1" t="s">
        <v>709</v>
      </c>
      <c r="B363" s="1" t="s">
        <v>627</v>
      </c>
      <c r="C363" s="1" t="s">
        <v>279</v>
      </c>
      <c r="D363" s="1" t="s">
        <v>50</v>
      </c>
      <c r="E363" s="1" t="s">
        <v>89</v>
      </c>
      <c r="F363" s="1" t="s">
        <v>90</v>
      </c>
      <c r="G363" s="1" t="s">
        <v>74</v>
      </c>
      <c r="H363" s="1" t="s">
        <v>127</v>
      </c>
      <c r="I363" s="1" t="s">
        <v>92</v>
      </c>
      <c r="J363" s="1" t="s">
        <v>93</v>
      </c>
      <c r="K363" s="1" t="s">
        <v>35</v>
      </c>
      <c r="L363" s="1" t="s">
        <v>23</v>
      </c>
      <c r="M363" s="1" t="s">
        <v>36</v>
      </c>
    </row>
    <row r="364" spans="1:13" x14ac:dyDescent="0.3">
      <c r="A364" s="1" t="s">
        <v>710</v>
      </c>
      <c r="B364" s="1" t="s">
        <v>711</v>
      </c>
      <c r="C364" s="1" t="s">
        <v>39</v>
      </c>
      <c r="D364" s="1" t="s">
        <v>50</v>
      </c>
      <c r="E364" s="1" t="s">
        <v>17</v>
      </c>
      <c r="F364" s="1" t="s">
        <v>18</v>
      </c>
      <c r="G364" s="1" t="s">
        <v>74</v>
      </c>
      <c r="H364" s="1" t="s">
        <v>43</v>
      </c>
      <c r="I364" s="1" t="s">
        <v>80</v>
      </c>
      <c r="J364" s="1" t="s">
        <v>81</v>
      </c>
      <c r="K364" s="1" t="s">
        <v>35</v>
      </c>
      <c r="L364" s="1" t="s">
        <v>23</v>
      </c>
      <c r="M364" s="1" t="s">
        <v>36</v>
      </c>
    </row>
    <row r="365" spans="1:13" x14ac:dyDescent="0.3">
      <c r="A365" s="1" t="s">
        <v>712</v>
      </c>
      <c r="B365" s="1" t="s">
        <v>623</v>
      </c>
      <c r="C365" s="1" t="s">
        <v>579</v>
      </c>
      <c r="D365" s="1" t="s">
        <v>28</v>
      </c>
      <c r="E365" s="1" t="s">
        <v>29</v>
      </c>
      <c r="F365" s="1" t="s">
        <v>30</v>
      </c>
      <c r="G365" s="1" t="s">
        <v>31</v>
      </c>
      <c r="H365" s="1" t="s">
        <v>127</v>
      </c>
      <c r="I365" s="1" t="s">
        <v>33</v>
      </c>
      <c r="J365" s="1" t="s">
        <v>34</v>
      </c>
      <c r="K365" s="1" t="s">
        <v>60</v>
      </c>
      <c r="L365" s="1" t="s">
        <v>46</v>
      </c>
      <c r="M365" s="1" t="s">
        <v>36</v>
      </c>
    </row>
    <row r="366" spans="1:13" x14ac:dyDescent="0.3">
      <c r="A366" s="1" t="s">
        <v>713</v>
      </c>
      <c r="B366" s="1" t="s">
        <v>714</v>
      </c>
      <c r="C366" s="1" t="s">
        <v>205</v>
      </c>
      <c r="D366" s="1" t="s">
        <v>50</v>
      </c>
      <c r="E366" s="1" t="s">
        <v>106</v>
      </c>
      <c r="F366" s="1" t="s">
        <v>107</v>
      </c>
      <c r="G366" s="1" t="s">
        <v>31</v>
      </c>
      <c r="H366" s="1" t="s">
        <v>53</v>
      </c>
      <c r="I366" s="1" t="s">
        <v>34</v>
      </c>
      <c r="J366" s="1" t="s">
        <v>108</v>
      </c>
      <c r="K366" s="1" t="s">
        <v>20</v>
      </c>
      <c r="L366" s="1" t="s">
        <v>46</v>
      </c>
      <c r="M366" s="1" t="s">
        <v>36</v>
      </c>
    </row>
    <row r="367" spans="1:13" x14ac:dyDescent="0.3">
      <c r="A367" s="1" t="s">
        <v>715</v>
      </c>
      <c r="B367" s="1" t="s">
        <v>161</v>
      </c>
      <c r="C367" s="1" t="s">
        <v>528</v>
      </c>
      <c r="D367" s="1" t="s">
        <v>59</v>
      </c>
      <c r="E367" s="1" t="s">
        <v>51</v>
      </c>
      <c r="F367" s="1" t="s">
        <v>52</v>
      </c>
      <c r="G367" s="1" t="s">
        <v>42</v>
      </c>
      <c r="H367" s="1" t="s">
        <v>53</v>
      </c>
      <c r="I367" s="1" t="s">
        <v>54</v>
      </c>
      <c r="J367" s="1" t="s">
        <v>55</v>
      </c>
      <c r="K367" s="1" t="s">
        <v>114</v>
      </c>
      <c r="L367" s="1" t="s">
        <v>46</v>
      </c>
      <c r="M367" s="1" t="s">
        <v>36</v>
      </c>
    </row>
    <row r="368" spans="1:13" x14ac:dyDescent="0.3">
      <c r="A368" s="1" t="s">
        <v>716</v>
      </c>
      <c r="B368" s="1" t="s">
        <v>692</v>
      </c>
      <c r="C368" s="1" t="s">
        <v>454</v>
      </c>
      <c r="D368" s="1" t="s">
        <v>124</v>
      </c>
      <c r="E368" s="1" t="s">
        <v>29</v>
      </c>
      <c r="F368" s="1" t="s">
        <v>30</v>
      </c>
      <c r="G368" s="1" t="s">
        <v>31</v>
      </c>
      <c r="H368" s="1" t="s">
        <v>149</v>
      </c>
      <c r="I368" s="1" t="s">
        <v>33</v>
      </c>
      <c r="J368" s="1" t="s">
        <v>34</v>
      </c>
      <c r="K368" s="1" t="s">
        <v>35</v>
      </c>
      <c r="L368" s="1" t="s">
        <v>46</v>
      </c>
      <c r="M368" s="1" t="s">
        <v>36</v>
      </c>
    </row>
    <row r="369" spans="1:13" x14ac:dyDescent="0.3">
      <c r="A369" s="1" t="s">
        <v>717</v>
      </c>
      <c r="B369" s="1" t="s">
        <v>386</v>
      </c>
      <c r="C369" s="1" t="s">
        <v>364</v>
      </c>
      <c r="D369" s="1" t="s">
        <v>28</v>
      </c>
      <c r="E369" s="1" t="s">
        <v>72</v>
      </c>
      <c r="F369" s="1" t="s">
        <v>73</v>
      </c>
      <c r="G369" s="1" t="s">
        <v>74</v>
      </c>
      <c r="H369" s="1" t="s">
        <v>91</v>
      </c>
      <c r="I369" s="1" t="s">
        <v>75</v>
      </c>
      <c r="J369" s="1" t="s">
        <v>76</v>
      </c>
      <c r="K369" s="1" t="s">
        <v>20</v>
      </c>
      <c r="L369" s="1" t="s">
        <v>46</v>
      </c>
      <c r="M369" s="1" t="s">
        <v>36</v>
      </c>
    </row>
    <row r="370" spans="1:13" x14ac:dyDescent="0.3">
      <c r="A370" s="1" t="s">
        <v>718</v>
      </c>
      <c r="B370" s="1" t="s">
        <v>650</v>
      </c>
      <c r="C370" s="1" t="s">
        <v>284</v>
      </c>
      <c r="D370" s="1" t="s">
        <v>124</v>
      </c>
      <c r="E370" s="1" t="s">
        <v>29</v>
      </c>
      <c r="F370" s="1" t="s">
        <v>30</v>
      </c>
      <c r="G370" s="1" t="s">
        <v>31</v>
      </c>
      <c r="H370" s="1" t="s">
        <v>43</v>
      </c>
      <c r="I370" s="1" t="s">
        <v>33</v>
      </c>
      <c r="J370" s="1" t="s">
        <v>34</v>
      </c>
      <c r="K370" s="1" t="s">
        <v>60</v>
      </c>
      <c r="L370" s="1" t="s">
        <v>23</v>
      </c>
      <c r="M370" s="1" t="s">
        <v>36</v>
      </c>
    </row>
    <row r="371" spans="1:13" x14ac:dyDescent="0.3">
      <c r="A371" s="1" t="s">
        <v>719</v>
      </c>
      <c r="B371" s="1" t="s">
        <v>209</v>
      </c>
      <c r="C371" s="1" t="s">
        <v>227</v>
      </c>
      <c r="D371" s="1" t="s">
        <v>59</v>
      </c>
      <c r="E371" s="1" t="s">
        <v>51</v>
      </c>
      <c r="F371" s="1" t="s">
        <v>52</v>
      </c>
      <c r="G371" s="1" t="s">
        <v>188</v>
      </c>
      <c r="H371" s="1" t="s">
        <v>85</v>
      </c>
      <c r="I371" s="1" t="s">
        <v>54</v>
      </c>
      <c r="J371" s="1" t="s">
        <v>55</v>
      </c>
      <c r="K371" s="1" t="s">
        <v>114</v>
      </c>
      <c r="L371" s="1" t="s">
        <v>23</v>
      </c>
      <c r="M371" s="1" t="s">
        <v>36</v>
      </c>
    </row>
    <row r="372" spans="1:13" x14ac:dyDescent="0.3">
      <c r="A372" s="1" t="s">
        <v>720</v>
      </c>
      <c r="B372" s="1" t="s">
        <v>721</v>
      </c>
      <c r="C372" s="1" t="s">
        <v>295</v>
      </c>
      <c r="D372" s="1" t="s">
        <v>28</v>
      </c>
      <c r="E372" s="1" t="s">
        <v>40</v>
      </c>
      <c r="F372" s="1" t="s">
        <v>41</v>
      </c>
      <c r="G372" s="1" t="s">
        <v>42</v>
      </c>
      <c r="H372" s="1" t="s">
        <v>127</v>
      </c>
      <c r="I372" s="1" t="s">
        <v>44</v>
      </c>
      <c r="J372" s="1" t="s">
        <v>45</v>
      </c>
      <c r="K372" s="1" t="s">
        <v>35</v>
      </c>
      <c r="L372" s="1" t="s">
        <v>23</v>
      </c>
      <c r="M372" s="1" t="s">
        <v>36</v>
      </c>
    </row>
    <row r="373" spans="1:13" x14ac:dyDescent="0.3">
      <c r="A373" s="1" t="s">
        <v>722</v>
      </c>
      <c r="B373" s="1" t="s">
        <v>723</v>
      </c>
      <c r="C373" s="1" t="s">
        <v>227</v>
      </c>
      <c r="D373" s="1" t="s">
        <v>28</v>
      </c>
      <c r="E373" s="1" t="s">
        <v>89</v>
      </c>
      <c r="F373" s="1" t="s">
        <v>90</v>
      </c>
      <c r="G373" s="1" t="s">
        <v>74</v>
      </c>
      <c r="H373" s="1" t="s">
        <v>91</v>
      </c>
      <c r="I373" s="1" t="s">
        <v>219</v>
      </c>
      <c r="J373" s="1" t="s">
        <v>93</v>
      </c>
      <c r="K373" s="1" t="s">
        <v>35</v>
      </c>
      <c r="L373" s="1" t="s">
        <v>46</v>
      </c>
      <c r="M373" s="1" t="s">
        <v>36</v>
      </c>
    </row>
    <row r="374" spans="1:13" x14ac:dyDescent="0.3">
      <c r="A374" s="1" t="s">
        <v>724</v>
      </c>
      <c r="B374" s="1" t="s">
        <v>420</v>
      </c>
      <c r="C374" s="1" t="s">
        <v>260</v>
      </c>
      <c r="D374" s="1" t="s">
        <v>50</v>
      </c>
      <c r="E374" s="1" t="s">
        <v>29</v>
      </c>
      <c r="F374" s="1" t="s">
        <v>30</v>
      </c>
      <c r="G374" s="1" t="s">
        <v>31</v>
      </c>
      <c r="H374" s="1" t="s">
        <v>91</v>
      </c>
      <c r="I374" s="1" t="s">
        <v>33</v>
      </c>
      <c r="J374" s="1" t="s">
        <v>34</v>
      </c>
      <c r="K374" s="1" t="s">
        <v>35</v>
      </c>
      <c r="L374" s="1" t="s">
        <v>46</v>
      </c>
      <c r="M374" s="1" t="s">
        <v>36</v>
      </c>
    </row>
    <row r="375" spans="1:13" x14ac:dyDescent="0.3">
      <c r="A375" s="1" t="s">
        <v>725</v>
      </c>
      <c r="B375" s="1" t="s">
        <v>78</v>
      </c>
      <c r="C375" s="1" t="s">
        <v>169</v>
      </c>
      <c r="D375" s="1" t="s">
        <v>50</v>
      </c>
      <c r="E375" s="1" t="s">
        <v>29</v>
      </c>
      <c r="F375" s="1" t="s">
        <v>30</v>
      </c>
      <c r="G375" s="1" t="s">
        <v>31</v>
      </c>
      <c r="H375" s="1" t="s">
        <v>53</v>
      </c>
      <c r="I375" s="1" t="s">
        <v>33</v>
      </c>
      <c r="J375" s="1" t="s">
        <v>34</v>
      </c>
      <c r="K375" s="1" t="s">
        <v>114</v>
      </c>
      <c r="L375" s="1" t="s">
        <v>46</v>
      </c>
      <c r="M375" s="1" t="s">
        <v>36</v>
      </c>
    </row>
    <row r="376" spans="1:13" x14ac:dyDescent="0.3">
      <c r="A376" s="1" t="s">
        <v>726</v>
      </c>
      <c r="B376" s="1" t="s">
        <v>87</v>
      </c>
      <c r="C376" s="1" t="s">
        <v>27</v>
      </c>
      <c r="D376" s="1" t="s">
        <v>124</v>
      </c>
      <c r="E376" s="1" t="s">
        <v>64</v>
      </c>
      <c r="F376" s="1" t="s">
        <v>65</v>
      </c>
      <c r="G376" s="1" t="s">
        <v>42</v>
      </c>
      <c r="H376" s="1" t="s">
        <v>43</v>
      </c>
      <c r="I376" s="1" t="s">
        <v>67</v>
      </c>
      <c r="J376" s="1" t="s">
        <v>68</v>
      </c>
      <c r="K376" s="1" t="s">
        <v>20</v>
      </c>
      <c r="L376" s="1" t="s">
        <v>23</v>
      </c>
      <c r="M376" s="1" t="s">
        <v>172</v>
      </c>
    </row>
    <row r="377" spans="1:13" x14ac:dyDescent="0.3">
      <c r="A377" s="1" t="s">
        <v>727</v>
      </c>
      <c r="B377" s="1" t="s">
        <v>477</v>
      </c>
      <c r="C377" s="1" t="s">
        <v>677</v>
      </c>
      <c r="D377" s="1" t="s">
        <v>124</v>
      </c>
      <c r="E377" s="1" t="s">
        <v>89</v>
      </c>
      <c r="F377" s="1" t="s">
        <v>90</v>
      </c>
      <c r="G377" s="1" t="s">
        <v>74</v>
      </c>
      <c r="H377" s="1" t="s">
        <v>127</v>
      </c>
      <c r="I377" s="1" t="s">
        <v>92</v>
      </c>
      <c r="J377" s="1" t="s">
        <v>93</v>
      </c>
      <c r="K377" s="1" t="s">
        <v>114</v>
      </c>
      <c r="L377" s="1" t="s">
        <v>23</v>
      </c>
      <c r="M377" s="1" t="s">
        <v>36</v>
      </c>
    </row>
    <row r="378" spans="1:13" x14ac:dyDescent="0.3">
      <c r="A378" s="1" t="s">
        <v>728</v>
      </c>
      <c r="B378" s="1" t="s">
        <v>420</v>
      </c>
      <c r="C378" s="1" t="s">
        <v>84</v>
      </c>
      <c r="D378" s="1" t="s">
        <v>28</v>
      </c>
      <c r="E378" s="1" t="s">
        <v>40</v>
      </c>
      <c r="F378" s="1" t="s">
        <v>41</v>
      </c>
      <c r="G378" s="1" t="s">
        <v>42</v>
      </c>
      <c r="H378" s="1" t="s">
        <v>149</v>
      </c>
      <c r="I378" s="1" t="s">
        <v>44</v>
      </c>
      <c r="J378" s="1" t="s">
        <v>45</v>
      </c>
      <c r="K378" s="1" t="s">
        <v>311</v>
      </c>
      <c r="L378" s="1" t="s">
        <v>23</v>
      </c>
      <c r="M378" s="1" t="s">
        <v>36</v>
      </c>
    </row>
    <row r="379" spans="1:13" x14ac:dyDescent="0.3">
      <c r="A379" s="1" t="s">
        <v>729</v>
      </c>
      <c r="B379" s="1" t="s">
        <v>730</v>
      </c>
      <c r="C379" s="1" t="s">
        <v>148</v>
      </c>
      <c r="D379" s="1" t="s">
        <v>406</v>
      </c>
      <c r="E379" s="1" t="s">
        <v>51</v>
      </c>
      <c r="F379" s="1" t="s">
        <v>52</v>
      </c>
      <c r="G379" s="1" t="s">
        <v>42</v>
      </c>
      <c r="H379" s="1" t="s">
        <v>91</v>
      </c>
      <c r="I379" s="1" t="s">
        <v>54</v>
      </c>
      <c r="J379" s="1" t="s">
        <v>55</v>
      </c>
      <c r="K379" s="1" t="s">
        <v>60</v>
      </c>
      <c r="L379" s="1" t="s">
        <v>46</v>
      </c>
      <c r="M379" s="1" t="s">
        <v>36</v>
      </c>
    </row>
    <row r="380" spans="1:13" x14ac:dyDescent="0.3">
      <c r="A380" s="1" t="s">
        <v>731</v>
      </c>
      <c r="B380" s="1" t="s">
        <v>154</v>
      </c>
      <c r="C380" s="1" t="s">
        <v>367</v>
      </c>
      <c r="D380" s="1" t="s">
        <v>59</v>
      </c>
      <c r="E380" s="1" t="s">
        <v>89</v>
      </c>
      <c r="F380" s="1" t="s">
        <v>90</v>
      </c>
      <c r="G380" s="1" t="s">
        <v>74</v>
      </c>
      <c r="H380" s="1" t="s">
        <v>91</v>
      </c>
      <c r="I380" s="1" t="s">
        <v>92</v>
      </c>
      <c r="J380" s="1" t="s">
        <v>93</v>
      </c>
      <c r="K380" s="1" t="s">
        <v>60</v>
      </c>
      <c r="L380" s="1" t="s">
        <v>23</v>
      </c>
      <c r="M380" s="1" t="s">
        <v>36</v>
      </c>
    </row>
    <row r="381" spans="1:13" x14ac:dyDescent="0.3">
      <c r="A381" s="1" t="s">
        <v>732</v>
      </c>
      <c r="B381" s="1" t="s">
        <v>433</v>
      </c>
      <c r="C381" s="1" t="s">
        <v>320</v>
      </c>
      <c r="D381" s="1" t="s">
        <v>59</v>
      </c>
      <c r="E381" s="1" t="s">
        <v>17</v>
      </c>
      <c r="F381" s="1" t="s">
        <v>18</v>
      </c>
      <c r="G381" s="1" t="s">
        <v>74</v>
      </c>
      <c r="H381" s="1" t="s">
        <v>32</v>
      </c>
      <c r="I381" s="1" t="s">
        <v>80</v>
      </c>
      <c r="J381" s="1" t="s">
        <v>81</v>
      </c>
      <c r="K381" s="1" t="s">
        <v>60</v>
      </c>
      <c r="L381" s="1" t="s">
        <v>23</v>
      </c>
      <c r="M381" s="1" t="s">
        <v>36</v>
      </c>
    </row>
    <row r="382" spans="1:13" x14ac:dyDescent="0.3">
      <c r="A382" s="1" t="s">
        <v>733</v>
      </c>
      <c r="B382" s="1" t="s">
        <v>500</v>
      </c>
      <c r="C382" s="1" t="s">
        <v>364</v>
      </c>
      <c r="D382" s="1" t="s">
        <v>59</v>
      </c>
      <c r="E382" s="1" t="s">
        <v>17</v>
      </c>
      <c r="F382" s="1" t="s">
        <v>18</v>
      </c>
      <c r="G382" s="1" t="s">
        <v>74</v>
      </c>
      <c r="H382" s="1" t="s">
        <v>43</v>
      </c>
      <c r="I382" s="1" t="s">
        <v>80</v>
      </c>
      <c r="J382" s="1" t="s">
        <v>81</v>
      </c>
      <c r="K382" s="1" t="s">
        <v>114</v>
      </c>
      <c r="L382" s="1" t="s">
        <v>46</v>
      </c>
      <c r="M382" s="1" t="s">
        <v>36</v>
      </c>
    </row>
    <row r="383" spans="1:13" x14ac:dyDescent="0.3">
      <c r="A383" s="1" t="s">
        <v>734</v>
      </c>
      <c r="B383" s="1" t="s">
        <v>510</v>
      </c>
      <c r="C383" s="1" t="s">
        <v>96</v>
      </c>
      <c r="D383" s="1" t="s">
        <v>28</v>
      </c>
      <c r="E383" s="1" t="s">
        <v>29</v>
      </c>
      <c r="F383" s="1" t="s">
        <v>30</v>
      </c>
      <c r="G383" s="1" t="s">
        <v>31</v>
      </c>
      <c r="H383" s="1" t="s">
        <v>91</v>
      </c>
      <c r="I383" s="1" t="s">
        <v>33</v>
      </c>
      <c r="J383" s="1" t="s">
        <v>34</v>
      </c>
      <c r="K383" s="1" t="s">
        <v>35</v>
      </c>
      <c r="L383" s="1" t="s">
        <v>23</v>
      </c>
      <c r="M383" s="1" t="s">
        <v>36</v>
      </c>
    </row>
    <row r="384" spans="1:13" x14ac:dyDescent="0.3">
      <c r="A384" s="1" t="s">
        <v>735</v>
      </c>
      <c r="B384" s="1" t="s">
        <v>571</v>
      </c>
      <c r="C384" s="1" t="s">
        <v>364</v>
      </c>
      <c r="D384" s="1" t="s">
        <v>50</v>
      </c>
      <c r="E384" s="1" t="s">
        <v>29</v>
      </c>
      <c r="F384" s="1" t="s">
        <v>30</v>
      </c>
      <c r="G384" s="1" t="s">
        <v>31</v>
      </c>
      <c r="H384" s="1" t="s">
        <v>53</v>
      </c>
      <c r="I384" s="1" t="s">
        <v>33</v>
      </c>
      <c r="J384" s="1" t="s">
        <v>34</v>
      </c>
      <c r="K384" s="1" t="s">
        <v>20</v>
      </c>
      <c r="L384" s="1" t="s">
        <v>46</v>
      </c>
      <c r="M384" s="1" t="s">
        <v>36</v>
      </c>
    </row>
    <row r="385" spans="1:13" x14ac:dyDescent="0.3">
      <c r="A385" s="1" t="s">
        <v>736</v>
      </c>
      <c r="B385" s="1" t="s">
        <v>184</v>
      </c>
      <c r="C385" s="1" t="s">
        <v>15</v>
      </c>
      <c r="D385" s="1" t="s">
        <v>124</v>
      </c>
      <c r="E385" s="1" t="s">
        <v>40</v>
      </c>
      <c r="F385" s="1" t="s">
        <v>41</v>
      </c>
      <c r="G385" s="1" t="s">
        <v>42</v>
      </c>
      <c r="H385" s="1" t="s">
        <v>85</v>
      </c>
      <c r="I385" s="1" t="s">
        <v>44</v>
      </c>
      <c r="J385" s="1" t="s">
        <v>45</v>
      </c>
      <c r="K385" s="1" t="s">
        <v>35</v>
      </c>
      <c r="L385" s="1" t="s">
        <v>23</v>
      </c>
      <c r="M385" s="1" t="s">
        <v>36</v>
      </c>
    </row>
    <row r="386" spans="1:13" x14ac:dyDescent="0.3">
      <c r="A386" s="1" t="s">
        <v>737</v>
      </c>
      <c r="B386" s="1" t="s">
        <v>201</v>
      </c>
      <c r="C386" s="1" t="s">
        <v>513</v>
      </c>
      <c r="D386" s="1" t="s">
        <v>28</v>
      </c>
      <c r="E386" s="1" t="s">
        <v>72</v>
      </c>
      <c r="F386" s="1" t="s">
        <v>73</v>
      </c>
      <c r="G386" s="1" t="s">
        <v>74</v>
      </c>
      <c r="H386" s="1" t="s">
        <v>66</v>
      </c>
      <c r="I386" s="1" t="s">
        <v>75</v>
      </c>
      <c r="J386" s="1" t="s">
        <v>76</v>
      </c>
      <c r="K386" s="1" t="s">
        <v>35</v>
      </c>
      <c r="L386" s="1" t="s">
        <v>23</v>
      </c>
      <c r="M386" s="1" t="s">
        <v>172</v>
      </c>
    </row>
    <row r="387" spans="1:13" x14ac:dyDescent="0.3">
      <c r="A387" s="1" t="s">
        <v>738</v>
      </c>
      <c r="B387" s="1" t="s">
        <v>739</v>
      </c>
      <c r="C387" s="1" t="s">
        <v>205</v>
      </c>
      <c r="D387" s="1" t="s">
        <v>28</v>
      </c>
      <c r="E387" s="1" t="s">
        <v>17</v>
      </c>
      <c r="F387" s="1" t="s">
        <v>18</v>
      </c>
      <c r="G387" s="1" t="s">
        <v>74</v>
      </c>
      <c r="H387" s="1" t="s">
        <v>91</v>
      </c>
      <c r="I387" s="1" t="s">
        <v>80</v>
      </c>
      <c r="J387" s="1" t="s">
        <v>81</v>
      </c>
      <c r="K387" s="1" t="s">
        <v>60</v>
      </c>
      <c r="L387" s="1" t="s">
        <v>46</v>
      </c>
      <c r="M387" s="1" t="s">
        <v>36</v>
      </c>
    </row>
    <row r="388" spans="1:13" x14ac:dyDescent="0.3">
      <c r="A388" s="1" t="s">
        <v>740</v>
      </c>
      <c r="B388" s="1" t="s">
        <v>470</v>
      </c>
      <c r="C388" s="1" t="s">
        <v>396</v>
      </c>
      <c r="D388" s="1" t="s">
        <v>59</v>
      </c>
      <c r="E388" s="1" t="s">
        <v>51</v>
      </c>
      <c r="F388" s="1" t="s">
        <v>52</v>
      </c>
      <c r="G388" s="1" t="s">
        <v>42</v>
      </c>
      <c r="H388" s="1" t="s">
        <v>85</v>
      </c>
      <c r="I388" s="1" t="s">
        <v>54</v>
      </c>
      <c r="J388" s="1" t="s">
        <v>55</v>
      </c>
      <c r="K388" s="1" t="s">
        <v>60</v>
      </c>
      <c r="L388" s="1" t="s">
        <v>23</v>
      </c>
      <c r="M388" s="1" t="s">
        <v>36</v>
      </c>
    </row>
    <row r="389" spans="1:13" x14ac:dyDescent="0.3">
      <c r="A389" s="1" t="s">
        <v>741</v>
      </c>
      <c r="B389" s="1" t="s">
        <v>209</v>
      </c>
      <c r="C389" s="1" t="s">
        <v>327</v>
      </c>
      <c r="D389" s="1" t="s">
        <v>28</v>
      </c>
      <c r="E389" s="1" t="s">
        <v>89</v>
      </c>
      <c r="F389" s="1" t="s">
        <v>90</v>
      </c>
      <c r="G389" s="1" t="s">
        <v>74</v>
      </c>
      <c r="H389" s="1" t="s">
        <v>43</v>
      </c>
      <c r="I389" s="1" t="s">
        <v>92</v>
      </c>
      <c r="J389" s="1" t="s">
        <v>93</v>
      </c>
      <c r="K389" s="1" t="s">
        <v>60</v>
      </c>
      <c r="L389" s="1" t="s">
        <v>23</v>
      </c>
      <c r="M389" s="1" t="s">
        <v>36</v>
      </c>
    </row>
    <row r="390" spans="1:13" x14ac:dyDescent="0.3">
      <c r="A390" s="1" t="s">
        <v>742</v>
      </c>
      <c r="B390" s="1" t="s">
        <v>174</v>
      </c>
      <c r="C390" s="1" t="s">
        <v>743</v>
      </c>
      <c r="D390" s="1" t="s">
        <v>28</v>
      </c>
      <c r="E390" s="1" t="s">
        <v>64</v>
      </c>
      <c r="F390" s="1" t="s">
        <v>65</v>
      </c>
      <c r="G390" s="1" t="s">
        <v>42</v>
      </c>
      <c r="H390" s="1" t="s">
        <v>20</v>
      </c>
      <c r="I390" s="1" t="s">
        <v>67</v>
      </c>
      <c r="J390" s="1" t="s">
        <v>68</v>
      </c>
      <c r="K390" s="1" t="s">
        <v>20</v>
      </c>
      <c r="L390" s="1" t="s">
        <v>23</v>
      </c>
      <c r="M390" s="1" t="s">
        <v>36</v>
      </c>
    </row>
    <row r="391" spans="1:13" x14ac:dyDescent="0.3">
      <c r="A391" s="1" t="s">
        <v>744</v>
      </c>
      <c r="B391" s="1" t="s">
        <v>545</v>
      </c>
      <c r="C391" s="1" t="s">
        <v>478</v>
      </c>
      <c r="D391" s="1" t="s">
        <v>124</v>
      </c>
      <c r="E391" s="1" t="s">
        <v>72</v>
      </c>
      <c r="F391" s="1" t="s">
        <v>73</v>
      </c>
      <c r="G391" s="1" t="s">
        <v>74</v>
      </c>
      <c r="H391" s="1" t="s">
        <v>53</v>
      </c>
      <c r="I391" s="1" t="s">
        <v>75</v>
      </c>
      <c r="J391" s="1" t="s">
        <v>76</v>
      </c>
      <c r="K391" s="1" t="s">
        <v>20</v>
      </c>
      <c r="L391" s="1" t="s">
        <v>46</v>
      </c>
      <c r="M391" s="1" t="s">
        <v>36</v>
      </c>
    </row>
    <row r="392" spans="1:13" x14ac:dyDescent="0.3">
      <c r="A392" s="1" t="s">
        <v>745</v>
      </c>
      <c r="B392" s="1" t="s">
        <v>453</v>
      </c>
      <c r="C392" s="1" t="s">
        <v>216</v>
      </c>
      <c r="D392" s="1" t="s">
        <v>28</v>
      </c>
      <c r="E392" s="1" t="s">
        <v>29</v>
      </c>
      <c r="F392" s="1" t="s">
        <v>30</v>
      </c>
      <c r="G392" s="1" t="s">
        <v>31</v>
      </c>
      <c r="H392" s="1" t="s">
        <v>43</v>
      </c>
      <c r="I392" s="1" t="s">
        <v>33</v>
      </c>
      <c r="J392" s="1" t="s">
        <v>34</v>
      </c>
      <c r="K392" s="1" t="s">
        <v>35</v>
      </c>
      <c r="L392" s="1" t="s">
        <v>23</v>
      </c>
      <c r="M392" s="1" t="s">
        <v>36</v>
      </c>
    </row>
    <row r="393" spans="1:13" x14ac:dyDescent="0.3">
      <c r="A393" s="1" t="s">
        <v>746</v>
      </c>
      <c r="B393" s="1" t="s">
        <v>231</v>
      </c>
      <c r="C393" s="1" t="s">
        <v>169</v>
      </c>
      <c r="D393" s="1" t="s">
        <v>59</v>
      </c>
      <c r="E393" s="1" t="s">
        <v>89</v>
      </c>
      <c r="F393" s="1" t="s">
        <v>90</v>
      </c>
      <c r="G393" s="1" t="s">
        <v>74</v>
      </c>
      <c r="H393" s="1" t="s">
        <v>149</v>
      </c>
      <c r="I393" s="1" t="s">
        <v>92</v>
      </c>
      <c r="J393" s="1" t="s">
        <v>93</v>
      </c>
      <c r="K393" s="1" t="s">
        <v>35</v>
      </c>
      <c r="L393" s="1" t="s">
        <v>23</v>
      </c>
      <c r="M393" s="1" t="s">
        <v>36</v>
      </c>
    </row>
    <row r="394" spans="1:13" x14ac:dyDescent="0.3">
      <c r="A394" s="1" t="s">
        <v>747</v>
      </c>
      <c r="B394" s="1" t="s">
        <v>433</v>
      </c>
      <c r="C394" s="1" t="s">
        <v>27</v>
      </c>
      <c r="D394" s="1" t="s">
        <v>28</v>
      </c>
      <c r="E394" s="1" t="s">
        <v>40</v>
      </c>
      <c r="F394" s="1" t="s">
        <v>41</v>
      </c>
      <c r="G394" s="1" t="s">
        <v>42</v>
      </c>
      <c r="H394" s="1" t="s">
        <v>149</v>
      </c>
      <c r="I394" s="1" t="s">
        <v>44</v>
      </c>
      <c r="J394" s="1" t="s">
        <v>45</v>
      </c>
      <c r="K394" s="1" t="s">
        <v>35</v>
      </c>
      <c r="L394" s="1" t="s">
        <v>46</v>
      </c>
      <c r="M394" s="1" t="s">
        <v>36</v>
      </c>
    </row>
    <row r="395" spans="1:13" x14ac:dyDescent="0.3">
      <c r="A395" s="1" t="s">
        <v>748</v>
      </c>
      <c r="B395" s="1" t="s">
        <v>187</v>
      </c>
      <c r="C395" s="1" t="s">
        <v>84</v>
      </c>
      <c r="D395" s="1" t="s">
        <v>59</v>
      </c>
      <c r="E395" s="1" t="s">
        <v>51</v>
      </c>
      <c r="F395" s="1" t="s">
        <v>52</v>
      </c>
      <c r="G395" s="1" t="s">
        <v>42</v>
      </c>
      <c r="H395" s="1" t="s">
        <v>127</v>
      </c>
      <c r="I395" s="1" t="s">
        <v>54</v>
      </c>
      <c r="J395" s="1" t="s">
        <v>55</v>
      </c>
      <c r="K395" s="1" t="s">
        <v>114</v>
      </c>
      <c r="L395" s="1" t="s">
        <v>23</v>
      </c>
      <c r="M395" s="1" t="s">
        <v>36</v>
      </c>
    </row>
    <row r="396" spans="1:13" x14ac:dyDescent="0.3">
      <c r="A396" s="1" t="s">
        <v>749</v>
      </c>
      <c r="B396" s="1" t="s">
        <v>750</v>
      </c>
      <c r="C396" s="1" t="s">
        <v>166</v>
      </c>
      <c r="D396" s="1" t="s">
        <v>59</v>
      </c>
      <c r="E396" s="1" t="s">
        <v>51</v>
      </c>
      <c r="F396" s="1" t="s">
        <v>52</v>
      </c>
      <c r="G396" s="1" t="s">
        <v>42</v>
      </c>
      <c r="H396" s="1" t="s">
        <v>53</v>
      </c>
      <c r="I396" s="1" t="s">
        <v>54</v>
      </c>
      <c r="J396" s="1" t="s">
        <v>55</v>
      </c>
      <c r="K396" s="1" t="s">
        <v>20</v>
      </c>
      <c r="L396" s="1" t="s">
        <v>46</v>
      </c>
      <c r="M396" s="1" t="s">
        <v>36</v>
      </c>
    </row>
    <row r="397" spans="1:13" x14ac:dyDescent="0.3">
      <c r="A397" s="1" t="s">
        <v>751</v>
      </c>
      <c r="B397" s="1" t="s">
        <v>226</v>
      </c>
      <c r="C397" s="1" t="s">
        <v>610</v>
      </c>
      <c r="D397" s="1" t="s">
        <v>124</v>
      </c>
      <c r="E397" s="1" t="s">
        <v>72</v>
      </c>
      <c r="F397" s="1" t="s">
        <v>73</v>
      </c>
      <c r="G397" s="1" t="s">
        <v>74</v>
      </c>
      <c r="H397" s="1" t="s">
        <v>149</v>
      </c>
      <c r="I397" s="1" t="s">
        <v>75</v>
      </c>
      <c r="J397" s="1" t="s">
        <v>76</v>
      </c>
      <c r="K397" s="1" t="s">
        <v>60</v>
      </c>
      <c r="L397" s="1" t="s">
        <v>46</v>
      </c>
      <c r="M397" s="1" t="s">
        <v>36</v>
      </c>
    </row>
    <row r="398" spans="1:13" x14ac:dyDescent="0.3">
      <c r="A398" s="1" t="s">
        <v>752</v>
      </c>
      <c r="B398" s="1" t="s">
        <v>317</v>
      </c>
      <c r="C398" s="1" t="s">
        <v>536</v>
      </c>
      <c r="D398" s="1" t="s">
        <v>59</v>
      </c>
      <c r="E398" s="1" t="s">
        <v>89</v>
      </c>
      <c r="F398" s="1" t="s">
        <v>90</v>
      </c>
      <c r="G398" s="1" t="s">
        <v>74</v>
      </c>
      <c r="H398" s="1" t="s">
        <v>66</v>
      </c>
      <c r="I398" s="1" t="s">
        <v>92</v>
      </c>
      <c r="J398" s="1" t="s">
        <v>93</v>
      </c>
      <c r="K398" s="1" t="s">
        <v>35</v>
      </c>
      <c r="L398" s="1" t="s">
        <v>46</v>
      </c>
      <c r="M398" s="1" t="s">
        <v>36</v>
      </c>
    </row>
    <row r="399" spans="1:13" x14ac:dyDescent="0.3">
      <c r="A399" s="1" t="s">
        <v>753</v>
      </c>
      <c r="B399" s="1" t="s">
        <v>154</v>
      </c>
      <c r="C399" s="1" t="s">
        <v>185</v>
      </c>
      <c r="D399" s="1" t="s">
        <v>50</v>
      </c>
      <c r="E399" s="1" t="s">
        <v>29</v>
      </c>
      <c r="F399" s="1" t="s">
        <v>30</v>
      </c>
      <c r="G399" s="1" t="s">
        <v>31</v>
      </c>
      <c r="H399" s="1" t="s">
        <v>149</v>
      </c>
      <c r="I399" s="1" t="s">
        <v>33</v>
      </c>
      <c r="J399" s="1" t="s">
        <v>34</v>
      </c>
      <c r="K399" s="1" t="s">
        <v>20</v>
      </c>
      <c r="L399" s="1" t="s">
        <v>46</v>
      </c>
      <c r="M399" s="1" t="s">
        <v>36</v>
      </c>
    </row>
    <row r="400" spans="1:13" x14ac:dyDescent="0.3">
      <c r="A400" s="1" t="s">
        <v>754</v>
      </c>
      <c r="B400" s="1" t="s">
        <v>516</v>
      </c>
      <c r="C400" s="1" t="s">
        <v>356</v>
      </c>
      <c r="D400" s="1" t="s">
        <v>50</v>
      </c>
      <c r="E400" s="1" t="s">
        <v>29</v>
      </c>
      <c r="F400" s="1" t="s">
        <v>30</v>
      </c>
      <c r="G400" s="1" t="s">
        <v>31</v>
      </c>
      <c r="H400" s="1" t="s">
        <v>43</v>
      </c>
      <c r="I400" s="1" t="s">
        <v>33</v>
      </c>
      <c r="J400" s="1" t="s">
        <v>34</v>
      </c>
      <c r="K400" s="1" t="s">
        <v>20</v>
      </c>
      <c r="L400" s="1" t="s">
        <v>46</v>
      </c>
      <c r="M400" s="1" t="s">
        <v>36</v>
      </c>
    </row>
    <row r="401" spans="1:13" x14ac:dyDescent="0.3">
      <c r="A401" s="1" t="s">
        <v>755</v>
      </c>
      <c r="B401" s="1" t="s">
        <v>131</v>
      </c>
      <c r="C401" s="1" t="s">
        <v>15</v>
      </c>
      <c r="D401" s="1" t="s">
        <v>50</v>
      </c>
      <c r="E401" s="1" t="s">
        <v>106</v>
      </c>
      <c r="F401" s="1" t="s">
        <v>107</v>
      </c>
      <c r="G401" s="1" t="s">
        <v>31</v>
      </c>
      <c r="H401" s="1" t="s">
        <v>32</v>
      </c>
      <c r="I401" s="1" t="s">
        <v>34</v>
      </c>
      <c r="J401" s="1" t="s">
        <v>108</v>
      </c>
      <c r="K401" s="1" t="s">
        <v>35</v>
      </c>
      <c r="L401" s="1" t="s">
        <v>23</v>
      </c>
      <c r="M401" s="1" t="s">
        <v>36</v>
      </c>
    </row>
    <row r="402" spans="1:13" x14ac:dyDescent="0.3">
      <c r="A402" s="1" t="s">
        <v>756</v>
      </c>
      <c r="B402" s="1" t="s">
        <v>681</v>
      </c>
      <c r="C402" s="1" t="s">
        <v>671</v>
      </c>
      <c r="D402" s="1" t="s">
        <v>59</v>
      </c>
      <c r="E402" s="1" t="s">
        <v>64</v>
      </c>
      <c r="F402" s="1" t="s">
        <v>65</v>
      </c>
      <c r="G402" s="1" t="s">
        <v>42</v>
      </c>
      <c r="H402" s="1" t="s">
        <v>91</v>
      </c>
      <c r="I402" s="1" t="s">
        <v>67</v>
      </c>
      <c r="J402" s="1" t="s">
        <v>68</v>
      </c>
      <c r="K402" s="1" t="s">
        <v>35</v>
      </c>
      <c r="L402" s="1" t="s">
        <v>46</v>
      </c>
      <c r="M402" s="1" t="s">
        <v>172</v>
      </c>
    </row>
    <row r="403" spans="1:13" x14ac:dyDescent="0.3">
      <c r="A403" s="1" t="s">
        <v>757</v>
      </c>
      <c r="B403" s="1" t="s">
        <v>468</v>
      </c>
      <c r="C403" s="1" t="s">
        <v>254</v>
      </c>
      <c r="D403" s="1" t="s">
        <v>50</v>
      </c>
      <c r="E403" s="1" t="s">
        <v>40</v>
      </c>
      <c r="F403" s="1" t="s">
        <v>41</v>
      </c>
      <c r="G403" s="1" t="s">
        <v>42</v>
      </c>
      <c r="H403" s="1" t="s">
        <v>85</v>
      </c>
      <c r="I403" s="1" t="s">
        <v>44</v>
      </c>
      <c r="J403" s="1" t="s">
        <v>45</v>
      </c>
      <c r="K403" s="1" t="s">
        <v>35</v>
      </c>
      <c r="L403" s="1" t="s">
        <v>46</v>
      </c>
      <c r="M403" s="1" t="s">
        <v>36</v>
      </c>
    </row>
    <row r="404" spans="1:13" x14ac:dyDescent="0.3">
      <c r="A404" s="1" t="s">
        <v>758</v>
      </c>
      <c r="B404" s="1" t="s">
        <v>573</v>
      </c>
      <c r="C404" s="1" t="s">
        <v>99</v>
      </c>
      <c r="D404" s="1" t="s">
        <v>50</v>
      </c>
      <c r="E404" s="1" t="s">
        <v>64</v>
      </c>
      <c r="F404" s="1" t="s">
        <v>65</v>
      </c>
      <c r="G404" s="1" t="s">
        <v>42</v>
      </c>
      <c r="H404" s="1" t="s">
        <v>43</v>
      </c>
      <c r="I404" s="1" t="s">
        <v>67</v>
      </c>
      <c r="J404" s="1" t="s">
        <v>68</v>
      </c>
      <c r="K404" s="1" t="s">
        <v>35</v>
      </c>
      <c r="L404" s="1" t="s">
        <v>23</v>
      </c>
      <c r="M404" s="1" t="s">
        <v>24</v>
      </c>
    </row>
    <row r="405" spans="1:13" x14ac:dyDescent="0.3">
      <c r="A405" s="1" t="s">
        <v>759</v>
      </c>
      <c r="B405" s="1" t="s">
        <v>615</v>
      </c>
      <c r="C405" s="1" t="s">
        <v>333</v>
      </c>
      <c r="D405" s="1" t="s">
        <v>50</v>
      </c>
      <c r="E405" s="1" t="s">
        <v>72</v>
      </c>
      <c r="F405" s="1" t="s">
        <v>73</v>
      </c>
      <c r="G405" s="1" t="s">
        <v>74</v>
      </c>
      <c r="H405" s="1" t="s">
        <v>32</v>
      </c>
      <c r="I405" s="1" t="s">
        <v>75</v>
      </c>
      <c r="J405" s="1" t="s">
        <v>76</v>
      </c>
      <c r="K405" s="1" t="s">
        <v>35</v>
      </c>
      <c r="L405" s="1" t="s">
        <v>23</v>
      </c>
      <c r="M405" s="1" t="s">
        <v>36</v>
      </c>
    </row>
    <row r="406" spans="1:13" x14ac:dyDescent="0.3">
      <c r="A406" s="1" t="s">
        <v>760</v>
      </c>
      <c r="B406" s="1" t="s">
        <v>218</v>
      </c>
      <c r="C406" s="1" t="s">
        <v>248</v>
      </c>
      <c r="D406" s="1" t="s">
        <v>50</v>
      </c>
      <c r="E406" s="1" t="s">
        <v>51</v>
      </c>
      <c r="F406" s="1" t="s">
        <v>52</v>
      </c>
      <c r="G406" s="1" t="s">
        <v>42</v>
      </c>
      <c r="H406" s="1" t="s">
        <v>85</v>
      </c>
      <c r="I406" s="1" t="s">
        <v>54</v>
      </c>
      <c r="J406" s="1" t="s">
        <v>55</v>
      </c>
      <c r="K406" s="1" t="s">
        <v>20</v>
      </c>
      <c r="L406" s="1" t="s">
        <v>46</v>
      </c>
      <c r="M406" s="1" t="s">
        <v>36</v>
      </c>
    </row>
    <row r="407" spans="1:13" x14ac:dyDescent="0.3">
      <c r="A407" s="1" t="s">
        <v>761</v>
      </c>
      <c r="B407" s="1" t="s">
        <v>347</v>
      </c>
      <c r="C407" s="1" t="s">
        <v>175</v>
      </c>
      <c r="D407" s="1" t="s">
        <v>124</v>
      </c>
      <c r="E407" s="1" t="s">
        <v>72</v>
      </c>
      <c r="F407" s="1" t="s">
        <v>73</v>
      </c>
      <c r="G407" s="1" t="s">
        <v>74</v>
      </c>
      <c r="H407" s="1" t="s">
        <v>91</v>
      </c>
      <c r="I407" s="1" t="s">
        <v>75</v>
      </c>
      <c r="J407" s="1" t="s">
        <v>76</v>
      </c>
      <c r="K407" s="1" t="s">
        <v>20</v>
      </c>
      <c r="L407" s="1" t="s">
        <v>23</v>
      </c>
      <c r="M407" s="1" t="s">
        <v>36</v>
      </c>
    </row>
    <row r="408" spans="1:13" x14ac:dyDescent="0.3">
      <c r="A408" s="1" t="s">
        <v>762</v>
      </c>
      <c r="B408" s="1" t="s">
        <v>161</v>
      </c>
      <c r="C408" s="1" t="s">
        <v>333</v>
      </c>
      <c r="D408" s="1" t="s">
        <v>406</v>
      </c>
      <c r="E408" s="1" t="s">
        <v>17</v>
      </c>
      <c r="F408" s="1" t="s">
        <v>18</v>
      </c>
      <c r="G408" s="1" t="s">
        <v>74</v>
      </c>
      <c r="H408" s="1" t="s">
        <v>43</v>
      </c>
      <c r="I408" s="1" t="s">
        <v>80</v>
      </c>
      <c r="J408" s="1" t="s">
        <v>81</v>
      </c>
      <c r="K408" s="1" t="s">
        <v>114</v>
      </c>
      <c r="L408" s="1" t="s">
        <v>46</v>
      </c>
      <c r="M408" s="1" t="s">
        <v>36</v>
      </c>
    </row>
    <row r="409" spans="1:13" x14ac:dyDescent="0.3">
      <c r="A409" s="1" t="s">
        <v>763</v>
      </c>
      <c r="B409" s="1" t="s">
        <v>764</v>
      </c>
      <c r="C409" s="1" t="s">
        <v>295</v>
      </c>
      <c r="D409" s="1" t="s">
        <v>50</v>
      </c>
      <c r="E409" s="1" t="s">
        <v>29</v>
      </c>
      <c r="F409" s="1" t="s">
        <v>30</v>
      </c>
      <c r="G409" s="1" t="s">
        <v>31</v>
      </c>
      <c r="H409" s="1" t="s">
        <v>127</v>
      </c>
      <c r="I409" s="1" t="s">
        <v>33</v>
      </c>
      <c r="J409" s="1" t="s">
        <v>34</v>
      </c>
      <c r="K409" s="1" t="s">
        <v>35</v>
      </c>
      <c r="L409" s="1" t="s">
        <v>23</v>
      </c>
      <c r="M409" s="1" t="s">
        <v>36</v>
      </c>
    </row>
    <row r="410" spans="1:13" x14ac:dyDescent="0.3">
      <c r="A410" s="1" t="s">
        <v>765</v>
      </c>
      <c r="B410" s="1" t="s">
        <v>154</v>
      </c>
      <c r="C410" s="1" t="s">
        <v>454</v>
      </c>
      <c r="D410" s="1" t="s">
        <v>28</v>
      </c>
      <c r="E410" s="1" t="s">
        <v>40</v>
      </c>
      <c r="F410" s="1" t="s">
        <v>41</v>
      </c>
      <c r="G410" s="1" t="s">
        <v>42</v>
      </c>
      <c r="H410" s="1" t="s">
        <v>127</v>
      </c>
      <c r="I410" s="1" t="s">
        <v>44</v>
      </c>
      <c r="J410" s="1" t="s">
        <v>45</v>
      </c>
      <c r="K410" s="1" t="s">
        <v>35</v>
      </c>
      <c r="L410" s="1" t="s">
        <v>23</v>
      </c>
      <c r="M410" s="1" t="s">
        <v>36</v>
      </c>
    </row>
    <row r="411" spans="1:13" x14ac:dyDescent="0.3">
      <c r="A411" s="1" t="s">
        <v>766</v>
      </c>
      <c r="B411" s="1" t="s">
        <v>543</v>
      </c>
      <c r="C411" s="1" t="s">
        <v>331</v>
      </c>
      <c r="D411" s="1" t="s">
        <v>59</v>
      </c>
      <c r="E411" s="1" t="s">
        <v>40</v>
      </c>
      <c r="F411" s="1" t="s">
        <v>41</v>
      </c>
      <c r="G411" s="1" t="s">
        <v>42</v>
      </c>
      <c r="H411" s="1" t="s">
        <v>43</v>
      </c>
      <c r="I411" s="1" t="s">
        <v>44</v>
      </c>
      <c r="J411" s="1" t="s">
        <v>45</v>
      </c>
      <c r="K411" s="1" t="s">
        <v>60</v>
      </c>
      <c r="L411" s="1" t="s">
        <v>46</v>
      </c>
      <c r="M411" s="1" t="s">
        <v>36</v>
      </c>
    </row>
    <row r="412" spans="1:13" x14ac:dyDescent="0.3">
      <c r="A412" s="1" t="s">
        <v>767</v>
      </c>
      <c r="B412" s="1" t="s">
        <v>660</v>
      </c>
      <c r="C412" s="1" t="s">
        <v>222</v>
      </c>
      <c r="D412" s="1" t="s">
        <v>50</v>
      </c>
      <c r="E412" s="1" t="s">
        <v>89</v>
      </c>
      <c r="F412" s="1" t="s">
        <v>90</v>
      </c>
      <c r="G412" s="1" t="s">
        <v>19</v>
      </c>
      <c r="H412" s="1" t="s">
        <v>32</v>
      </c>
      <c r="I412" s="1" t="s">
        <v>92</v>
      </c>
      <c r="J412" s="1" t="s">
        <v>93</v>
      </c>
      <c r="K412" s="1" t="s">
        <v>114</v>
      </c>
      <c r="L412" s="1" t="s">
        <v>46</v>
      </c>
      <c r="M412" s="1" t="s">
        <v>36</v>
      </c>
    </row>
    <row r="413" spans="1:13" x14ac:dyDescent="0.3">
      <c r="A413" s="1" t="s">
        <v>768</v>
      </c>
      <c r="B413" s="1" t="s">
        <v>510</v>
      </c>
      <c r="C413" s="1" t="s">
        <v>254</v>
      </c>
      <c r="D413" s="1" t="s">
        <v>50</v>
      </c>
      <c r="E413" s="1" t="s">
        <v>29</v>
      </c>
      <c r="F413" s="1" t="s">
        <v>30</v>
      </c>
      <c r="G413" s="1" t="s">
        <v>31</v>
      </c>
      <c r="H413" s="1" t="s">
        <v>32</v>
      </c>
      <c r="I413" s="1" t="s">
        <v>33</v>
      </c>
      <c r="J413" s="1" t="s">
        <v>34</v>
      </c>
      <c r="K413" s="1" t="s">
        <v>114</v>
      </c>
      <c r="L413" s="1" t="s">
        <v>46</v>
      </c>
      <c r="M413" s="1" t="s">
        <v>36</v>
      </c>
    </row>
    <row r="414" spans="1:13" x14ac:dyDescent="0.3">
      <c r="A414" s="1" t="s">
        <v>769</v>
      </c>
      <c r="B414" s="1" t="s">
        <v>524</v>
      </c>
      <c r="C414" s="1" t="s">
        <v>166</v>
      </c>
      <c r="D414" s="1" t="s">
        <v>59</v>
      </c>
      <c r="E414" s="1" t="s">
        <v>64</v>
      </c>
      <c r="F414" s="1" t="s">
        <v>65</v>
      </c>
      <c r="G414" s="1" t="s">
        <v>42</v>
      </c>
      <c r="H414" s="1" t="s">
        <v>149</v>
      </c>
      <c r="I414" s="1" t="s">
        <v>67</v>
      </c>
      <c r="J414" s="1" t="s">
        <v>68</v>
      </c>
      <c r="K414" s="1" t="s">
        <v>60</v>
      </c>
      <c r="L414" s="1" t="s">
        <v>23</v>
      </c>
      <c r="M414" s="1" t="s">
        <v>36</v>
      </c>
    </row>
    <row r="415" spans="1:13" x14ac:dyDescent="0.3">
      <c r="A415" s="1" t="s">
        <v>770</v>
      </c>
      <c r="B415" s="1" t="s">
        <v>418</v>
      </c>
      <c r="C415" s="1" t="s">
        <v>159</v>
      </c>
      <c r="D415" s="1" t="s">
        <v>124</v>
      </c>
      <c r="E415" s="1" t="s">
        <v>40</v>
      </c>
      <c r="F415" s="1" t="s">
        <v>41</v>
      </c>
      <c r="G415" s="1" t="s">
        <v>42</v>
      </c>
      <c r="H415" s="1" t="s">
        <v>43</v>
      </c>
      <c r="I415" s="1" t="s">
        <v>44</v>
      </c>
      <c r="J415" s="1" t="s">
        <v>45</v>
      </c>
      <c r="K415" s="1" t="s">
        <v>20</v>
      </c>
      <c r="L415" s="1" t="s">
        <v>23</v>
      </c>
      <c r="M415" s="1" t="s">
        <v>36</v>
      </c>
    </row>
    <row r="416" spans="1:13" x14ac:dyDescent="0.3">
      <c r="A416" s="1" t="s">
        <v>771</v>
      </c>
      <c r="B416" s="1" t="s">
        <v>262</v>
      </c>
      <c r="C416" s="1" t="s">
        <v>610</v>
      </c>
      <c r="D416" s="1" t="s">
        <v>28</v>
      </c>
      <c r="E416" s="1" t="s">
        <v>64</v>
      </c>
      <c r="F416" s="1" t="s">
        <v>65</v>
      </c>
      <c r="G416" s="1" t="s">
        <v>42</v>
      </c>
      <c r="H416" s="1" t="s">
        <v>127</v>
      </c>
      <c r="I416" s="1" t="s">
        <v>67</v>
      </c>
      <c r="J416" s="1" t="s">
        <v>68</v>
      </c>
      <c r="K416" s="1" t="s">
        <v>60</v>
      </c>
      <c r="L416" s="1" t="s">
        <v>23</v>
      </c>
      <c r="M416" s="1" t="s">
        <v>36</v>
      </c>
    </row>
    <row r="417" spans="1:13" x14ac:dyDescent="0.3">
      <c r="A417" s="1" t="s">
        <v>772</v>
      </c>
      <c r="B417" s="1" t="s">
        <v>313</v>
      </c>
      <c r="C417" s="1" t="s">
        <v>273</v>
      </c>
      <c r="D417" s="1" t="s">
        <v>59</v>
      </c>
      <c r="E417" s="1" t="s">
        <v>106</v>
      </c>
      <c r="F417" s="1" t="s">
        <v>107</v>
      </c>
      <c r="G417" s="1" t="s">
        <v>31</v>
      </c>
      <c r="H417" s="1" t="s">
        <v>43</v>
      </c>
      <c r="I417" s="1" t="s">
        <v>34</v>
      </c>
      <c r="J417" s="1" t="s">
        <v>108</v>
      </c>
      <c r="K417" s="1" t="s">
        <v>114</v>
      </c>
      <c r="L417" s="1" t="s">
        <v>46</v>
      </c>
      <c r="M417" s="1" t="s">
        <v>36</v>
      </c>
    </row>
    <row r="418" spans="1:13" x14ac:dyDescent="0.3">
      <c r="A418" s="1" t="s">
        <v>773</v>
      </c>
      <c r="B418" s="1" t="s">
        <v>418</v>
      </c>
      <c r="C418" s="1" t="s">
        <v>211</v>
      </c>
      <c r="D418" s="1" t="s">
        <v>59</v>
      </c>
      <c r="E418" s="1" t="s">
        <v>89</v>
      </c>
      <c r="F418" s="1" t="s">
        <v>90</v>
      </c>
      <c r="G418" s="1" t="s">
        <v>74</v>
      </c>
      <c r="H418" s="1" t="s">
        <v>149</v>
      </c>
      <c r="I418" s="1" t="s">
        <v>92</v>
      </c>
      <c r="J418" s="1" t="s">
        <v>93</v>
      </c>
      <c r="K418" s="1" t="s">
        <v>60</v>
      </c>
      <c r="L418" s="1" t="s">
        <v>23</v>
      </c>
      <c r="M418" s="1" t="s">
        <v>36</v>
      </c>
    </row>
    <row r="419" spans="1:13" x14ac:dyDescent="0.3">
      <c r="A419" s="1" t="s">
        <v>774</v>
      </c>
      <c r="B419" s="1" t="s">
        <v>392</v>
      </c>
      <c r="C419" s="1" t="s">
        <v>194</v>
      </c>
      <c r="D419" s="1" t="s">
        <v>124</v>
      </c>
      <c r="E419" s="1" t="s">
        <v>29</v>
      </c>
      <c r="F419" s="1" t="s">
        <v>30</v>
      </c>
      <c r="G419" s="1" t="s">
        <v>31</v>
      </c>
      <c r="H419" s="1" t="s">
        <v>85</v>
      </c>
      <c r="I419" s="1" t="s">
        <v>33</v>
      </c>
      <c r="J419" s="1" t="s">
        <v>34</v>
      </c>
      <c r="K419" s="1" t="s">
        <v>114</v>
      </c>
      <c r="L419" s="1" t="s">
        <v>46</v>
      </c>
      <c r="M419" s="1" t="s">
        <v>36</v>
      </c>
    </row>
    <row r="420" spans="1:13" x14ac:dyDescent="0.3">
      <c r="A420" s="1" t="s">
        <v>775</v>
      </c>
      <c r="B420" s="1" t="s">
        <v>635</v>
      </c>
      <c r="C420" s="1" t="s">
        <v>382</v>
      </c>
      <c r="D420" s="1" t="s">
        <v>59</v>
      </c>
      <c r="E420" s="1" t="s">
        <v>29</v>
      </c>
      <c r="F420" s="1" t="s">
        <v>30</v>
      </c>
      <c r="G420" s="1" t="s">
        <v>31</v>
      </c>
      <c r="H420" s="1" t="s">
        <v>32</v>
      </c>
      <c r="I420" s="1" t="s">
        <v>33</v>
      </c>
      <c r="J420" s="1" t="s">
        <v>34</v>
      </c>
      <c r="K420" s="1" t="s">
        <v>60</v>
      </c>
      <c r="L420" s="1" t="s">
        <v>23</v>
      </c>
      <c r="M420" s="1" t="s">
        <v>36</v>
      </c>
    </row>
    <row r="421" spans="1:13" x14ac:dyDescent="0.3">
      <c r="A421" s="1" t="s">
        <v>776</v>
      </c>
      <c r="B421" s="1" t="s">
        <v>26</v>
      </c>
      <c r="C421" s="1" t="s">
        <v>216</v>
      </c>
      <c r="D421" s="1" t="s">
        <v>28</v>
      </c>
      <c r="E421" s="1" t="s">
        <v>72</v>
      </c>
      <c r="F421" s="1" t="s">
        <v>73</v>
      </c>
      <c r="G421" s="1" t="s">
        <v>74</v>
      </c>
      <c r="H421" s="1" t="s">
        <v>32</v>
      </c>
      <c r="I421" s="1" t="s">
        <v>75</v>
      </c>
      <c r="J421" s="1" t="s">
        <v>76</v>
      </c>
      <c r="K421" s="1" t="s">
        <v>114</v>
      </c>
      <c r="L421" s="1" t="s">
        <v>46</v>
      </c>
      <c r="M421" s="1" t="s">
        <v>36</v>
      </c>
    </row>
    <row r="422" spans="1:13" x14ac:dyDescent="0.3">
      <c r="A422" s="1" t="s">
        <v>777</v>
      </c>
      <c r="B422" s="1" t="s">
        <v>262</v>
      </c>
      <c r="C422" s="1" t="s">
        <v>162</v>
      </c>
      <c r="D422" s="1" t="s">
        <v>50</v>
      </c>
      <c r="E422" s="1" t="s">
        <v>64</v>
      </c>
      <c r="F422" s="1" t="s">
        <v>65</v>
      </c>
      <c r="G422" s="1" t="s">
        <v>42</v>
      </c>
      <c r="H422" s="1" t="s">
        <v>127</v>
      </c>
      <c r="I422" s="1" t="s">
        <v>67</v>
      </c>
      <c r="J422" s="1" t="s">
        <v>68</v>
      </c>
      <c r="K422" s="1" t="s">
        <v>114</v>
      </c>
      <c r="L422" s="1" t="s">
        <v>46</v>
      </c>
      <c r="M422" s="1" t="s">
        <v>36</v>
      </c>
    </row>
    <row r="423" spans="1:13" x14ac:dyDescent="0.3">
      <c r="A423" s="1" t="s">
        <v>778</v>
      </c>
      <c r="B423" s="1" t="s">
        <v>181</v>
      </c>
      <c r="C423" s="1" t="s">
        <v>88</v>
      </c>
      <c r="D423" s="1" t="s">
        <v>28</v>
      </c>
      <c r="E423" s="1" t="s">
        <v>72</v>
      </c>
      <c r="F423" s="1" t="s">
        <v>73</v>
      </c>
      <c r="G423" s="1" t="s">
        <v>74</v>
      </c>
      <c r="H423" s="1" t="s">
        <v>66</v>
      </c>
      <c r="I423" s="1" t="s">
        <v>75</v>
      </c>
      <c r="J423" s="1" t="s">
        <v>76</v>
      </c>
      <c r="K423" s="1" t="s">
        <v>20</v>
      </c>
      <c r="L423" s="1" t="s">
        <v>23</v>
      </c>
      <c r="M423" s="1" t="s">
        <v>36</v>
      </c>
    </row>
    <row r="424" spans="1:13" x14ac:dyDescent="0.3">
      <c r="A424" s="1" t="s">
        <v>779</v>
      </c>
      <c r="B424" s="1" t="s">
        <v>376</v>
      </c>
      <c r="C424" s="1" t="s">
        <v>202</v>
      </c>
      <c r="D424" s="1" t="s">
        <v>124</v>
      </c>
      <c r="E424" s="1" t="s">
        <v>106</v>
      </c>
      <c r="F424" s="1" t="s">
        <v>107</v>
      </c>
      <c r="G424" s="1" t="s">
        <v>31</v>
      </c>
      <c r="H424" s="1" t="s">
        <v>127</v>
      </c>
      <c r="I424" s="1" t="s">
        <v>34</v>
      </c>
      <c r="J424" s="1" t="s">
        <v>108</v>
      </c>
      <c r="K424" s="1" t="s">
        <v>60</v>
      </c>
      <c r="L424" s="1" t="s">
        <v>23</v>
      </c>
      <c r="M424" s="1" t="s">
        <v>36</v>
      </c>
    </row>
    <row r="425" spans="1:13" x14ac:dyDescent="0.3">
      <c r="A425" s="1" t="s">
        <v>780</v>
      </c>
      <c r="B425" s="1" t="s">
        <v>781</v>
      </c>
      <c r="C425" s="1" t="s">
        <v>315</v>
      </c>
      <c r="D425" s="1" t="s">
        <v>50</v>
      </c>
      <c r="E425" s="1" t="s">
        <v>29</v>
      </c>
      <c r="F425" s="1" t="s">
        <v>30</v>
      </c>
      <c r="G425" s="1" t="s">
        <v>31</v>
      </c>
      <c r="H425" s="1" t="s">
        <v>85</v>
      </c>
      <c r="I425" s="1" t="s">
        <v>33</v>
      </c>
      <c r="J425" s="1" t="s">
        <v>34</v>
      </c>
      <c r="K425" s="1" t="s">
        <v>22</v>
      </c>
      <c r="L425" s="1" t="s">
        <v>46</v>
      </c>
      <c r="M425" s="1" t="s">
        <v>36</v>
      </c>
    </row>
    <row r="426" spans="1:13" x14ac:dyDescent="0.3">
      <c r="A426" s="1" t="s">
        <v>782</v>
      </c>
      <c r="B426" s="1" t="s">
        <v>87</v>
      </c>
      <c r="C426" s="1" t="s">
        <v>123</v>
      </c>
      <c r="D426" s="1" t="s">
        <v>28</v>
      </c>
      <c r="E426" s="1" t="s">
        <v>89</v>
      </c>
      <c r="F426" s="1" t="s">
        <v>90</v>
      </c>
      <c r="G426" s="1" t="s">
        <v>74</v>
      </c>
      <c r="H426" s="1" t="s">
        <v>43</v>
      </c>
      <c r="I426" s="1" t="s">
        <v>219</v>
      </c>
      <c r="J426" s="1" t="s">
        <v>93</v>
      </c>
      <c r="K426" s="1" t="s">
        <v>20</v>
      </c>
      <c r="L426" s="1" t="s">
        <v>23</v>
      </c>
      <c r="M426" s="1" t="s">
        <v>36</v>
      </c>
    </row>
    <row r="427" spans="1:13" x14ac:dyDescent="0.3">
      <c r="A427" s="1" t="s">
        <v>783</v>
      </c>
      <c r="B427" s="1" t="s">
        <v>784</v>
      </c>
      <c r="C427" s="1" t="s">
        <v>169</v>
      </c>
      <c r="D427" s="1" t="s">
        <v>59</v>
      </c>
      <c r="E427" s="1" t="s">
        <v>29</v>
      </c>
      <c r="F427" s="1" t="s">
        <v>30</v>
      </c>
      <c r="G427" s="1" t="s">
        <v>31</v>
      </c>
      <c r="H427" s="1" t="s">
        <v>43</v>
      </c>
      <c r="I427" s="1" t="s">
        <v>33</v>
      </c>
      <c r="J427" s="1" t="s">
        <v>34</v>
      </c>
      <c r="K427" s="1" t="s">
        <v>60</v>
      </c>
      <c r="L427" s="1" t="s">
        <v>23</v>
      </c>
      <c r="M427" s="1" t="s">
        <v>36</v>
      </c>
    </row>
    <row r="428" spans="1:13" x14ac:dyDescent="0.3">
      <c r="A428" s="1" t="s">
        <v>785</v>
      </c>
      <c r="B428" s="1" t="s">
        <v>57</v>
      </c>
      <c r="C428" s="1" t="s">
        <v>367</v>
      </c>
      <c r="D428" s="1" t="s">
        <v>16</v>
      </c>
      <c r="E428" s="1" t="s">
        <v>64</v>
      </c>
      <c r="F428" s="1" t="s">
        <v>65</v>
      </c>
      <c r="G428" s="1" t="s">
        <v>42</v>
      </c>
      <c r="H428" s="1" t="s">
        <v>85</v>
      </c>
      <c r="I428" s="1" t="s">
        <v>67</v>
      </c>
      <c r="J428" s="1" t="s">
        <v>68</v>
      </c>
      <c r="K428" s="1" t="s">
        <v>60</v>
      </c>
      <c r="L428" s="1" t="s">
        <v>23</v>
      </c>
      <c r="M428" s="1" t="s">
        <v>36</v>
      </c>
    </row>
    <row r="429" spans="1:13" x14ac:dyDescent="0.3">
      <c r="A429" s="1" t="s">
        <v>786</v>
      </c>
      <c r="B429" s="1" t="s">
        <v>688</v>
      </c>
      <c r="C429" s="1" t="s">
        <v>216</v>
      </c>
      <c r="D429" s="1" t="s">
        <v>124</v>
      </c>
      <c r="E429" s="1" t="s">
        <v>51</v>
      </c>
      <c r="F429" s="1" t="s">
        <v>52</v>
      </c>
      <c r="G429" s="1" t="s">
        <v>42</v>
      </c>
      <c r="H429" s="1" t="s">
        <v>43</v>
      </c>
      <c r="I429" s="1" t="s">
        <v>54</v>
      </c>
      <c r="J429" s="1" t="s">
        <v>55</v>
      </c>
      <c r="K429" s="1" t="s">
        <v>35</v>
      </c>
      <c r="L429" s="1" t="s">
        <v>23</v>
      </c>
      <c r="M429" s="1" t="s">
        <v>36</v>
      </c>
    </row>
    <row r="430" spans="1:13" x14ac:dyDescent="0.3">
      <c r="A430" s="1" t="s">
        <v>787</v>
      </c>
      <c r="B430" s="1" t="s">
        <v>788</v>
      </c>
      <c r="C430" s="1" t="s">
        <v>345</v>
      </c>
      <c r="D430" s="1" t="s">
        <v>28</v>
      </c>
      <c r="E430" s="1" t="s">
        <v>72</v>
      </c>
      <c r="F430" s="1" t="s">
        <v>73</v>
      </c>
      <c r="G430" s="1" t="s">
        <v>74</v>
      </c>
      <c r="H430" s="1" t="s">
        <v>91</v>
      </c>
      <c r="I430" s="1" t="s">
        <v>75</v>
      </c>
      <c r="J430" s="1" t="s">
        <v>76</v>
      </c>
      <c r="K430" s="1" t="s">
        <v>20</v>
      </c>
      <c r="L430" s="1" t="s">
        <v>23</v>
      </c>
      <c r="M430" s="1" t="s">
        <v>36</v>
      </c>
    </row>
    <row r="431" spans="1:13" x14ac:dyDescent="0.3">
      <c r="A431" s="1" t="s">
        <v>789</v>
      </c>
      <c r="B431" s="1" t="s">
        <v>204</v>
      </c>
      <c r="C431" s="1" t="s">
        <v>273</v>
      </c>
      <c r="D431" s="1" t="s">
        <v>124</v>
      </c>
      <c r="E431" s="1" t="s">
        <v>51</v>
      </c>
      <c r="F431" s="1" t="s">
        <v>52</v>
      </c>
      <c r="G431" s="1" t="s">
        <v>42</v>
      </c>
      <c r="H431" s="1" t="s">
        <v>53</v>
      </c>
      <c r="I431" s="1" t="s">
        <v>54</v>
      </c>
      <c r="J431" s="1" t="s">
        <v>55</v>
      </c>
      <c r="K431" s="1" t="s">
        <v>114</v>
      </c>
      <c r="L431" s="1" t="s">
        <v>46</v>
      </c>
      <c r="M431" s="1" t="s">
        <v>36</v>
      </c>
    </row>
    <row r="432" spans="1:13" x14ac:dyDescent="0.3">
      <c r="A432" s="1" t="s">
        <v>790</v>
      </c>
      <c r="B432" s="1" t="s">
        <v>530</v>
      </c>
      <c r="C432" s="1" t="s">
        <v>99</v>
      </c>
      <c r="D432" s="1" t="s">
        <v>59</v>
      </c>
      <c r="E432" s="1" t="s">
        <v>40</v>
      </c>
      <c r="F432" s="1" t="s">
        <v>41</v>
      </c>
      <c r="G432" s="1" t="s">
        <v>42</v>
      </c>
      <c r="H432" s="1" t="s">
        <v>91</v>
      </c>
      <c r="I432" s="1" t="s">
        <v>44</v>
      </c>
      <c r="J432" s="1" t="s">
        <v>45</v>
      </c>
      <c r="K432" s="1" t="s">
        <v>114</v>
      </c>
      <c r="L432" s="1" t="s">
        <v>23</v>
      </c>
      <c r="M432" s="1" t="s">
        <v>36</v>
      </c>
    </row>
    <row r="433" spans="1:13" x14ac:dyDescent="0.3">
      <c r="A433" s="1" t="s">
        <v>791</v>
      </c>
      <c r="B433" s="1" t="s">
        <v>360</v>
      </c>
      <c r="C433" s="1" t="s">
        <v>610</v>
      </c>
      <c r="D433" s="1" t="s">
        <v>28</v>
      </c>
      <c r="E433" s="1" t="s">
        <v>89</v>
      </c>
      <c r="F433" s="1" t="s">
        <v>90</v>
      </c>
      <c r="G433" s="1" t="s">
        <v>74</v>
      </c>
      <c r="H433" s="1" t="s">
        <v>149</v>
      </c>
      <c r="I433" s="1" t="s">
        <v>92</v>
      </c>
      <c r="J433" s="1" t="s">
        <v>93</v>
      </c>
      <c r="K433" s="1" t="s">
        <v>35</v>
      </c>
      <c r="L433" s="1" t="s">
        <v>46</v>
      </c>
      <c r="M433" s="1" t="s">
        <v>172</v>
      </c>
    </row>
    <row r="434" spans="1:13" x14ac:dyDescent="0.3">
      <c r="A434" s="1" t="s">
        <v>792</v>
      </c>
      <c r="B434" s="1" t="s">
        <v>218</v>
      </c>
      <c r="C434" s="1" t="s">
        <v>205</v>
      </c>
      <c r="D434" s="1" t="s">
        <v>59</v>
      </c>
      <c r="E434" s="1" t="s">
        <v>64</v>
      </c>
      <c r="F434" s="1" t="s">
        <v>65</v>
      </c>
      <c r="G434" s="1" t="s">
        <v>42</v>
      </c>
      <c r="H434" s="1" t="s">
        <v>66</v>
      </c>
      <c r="I434" s="1" t="s">
        <v>67</v>
      </c>
      <c r="J434" s="1" t="s">
        <v>68</v>
      </c>
      <c r="K434" s="1" t="s">
        <v>35</v>
      </c>
      <c r="L434" s="1" t="s">
        <v>46</v>
      </c>
      <c r="M434" s="1" t="s">
        <v>172</v>
      </c>
    </row>
    <row r="435" spans="1:13" x14ac:dyDescent="0.3">
      <c r="A435" s="1" t="s">
        <v>793</v>
      </c>
      <c r="B435" s="1" t="s">
        <v>688</v>
      </c>
      <c r="C435" s="1" t="s">
        <v>289</v>
      </c>
      <c r="D435" s="1" t="s">
        <v>28</v>
      </c>
      <c r="E435" s="1" t="s">
        <v>89</v>
      </c>
      <c r="F435" s="1" t="s">
        <v>90</v>
      </c>
      <c r="G435" s="1" t="s">
        <v>74</v>
      </c>
      <c r="H435" s="1" t="s">
        <v>66</v>
      </c>
      <c r="I435" s="1" t="s">
        <v>92</v>
      </c>
      <c r="J435" s="1" t="s">
        <v>93</v>
      </c>
      <c r="K435" s="1" t="s">
        <v>20</v>
      </c>
      <c r="L435" s="1" t="s">
        <v>23</v>
      </c>
      <c r="M435" s="1" t="s">
        <v>36</v>
      </c>
    </row>
    <row r="436" spans="1:13" x14ac:dyDescent="0.3">
      <c r="A436" s="1" t="s">
        <v>794</v>
      </c>
      <c r="B436" s="1" t="s">
        <v>187</v>
      </c>
      <c r="C436" s="1" t="s">
        <v>308</v>
      </c>
      <c r="D436" s="1" t="s">
        <v>59</v>
      </c>
      <c r="E436" s="1" t="s">
        <v>51</v>
      </c>
      <c r="F436" s="1" t="s">
        <v>52</v>
      </c>
      <c r="G436" s="1" t="s">
        <v>42</v>
      </c>
      <c r="H436" s="1" t="s">
        <v>149</v>
      </c>
      <c r="I436" s="1" t="s">
        <v>54</v>
      </c>
      <c r="J436" s="1" t="s">
        <v>55</v>
      </c>
      <c r="K436" s="1" t="s">
        <v>114</v>
      </c>
      <c r="L436" s="1" t="s">
        <v>23</v>
      </c>
      <c r="M436" s="1" t="s">
        <v>36</v>
      </c>
    </row>
    <row r="437" spans="1:13" x14ac:dyDescent="0.3">
      <c r="A437" s="1" t="s">
        <v>795</v>
      </c>
      <c r="B437" s="1" t="s">
        <v>409</v>
      </c>
      <c r="C437" s="1" t="s">
        <v>410</v>
      </c>
      <c r="D437" s="1" t="s">
        <v>156</v>
      </c>
      <c r="E437" s="1" t="s">
        <v>51</v>
      </c>
      <c r="F437" s="1" t="s">
        <v>52</v>
      </c>
      <c r="G437" s="1" t="s">
        <v>42</v>
      </c>
      <c r="H437" s="1" t="s">
        <v>43</v>
      </c>
      <c r="I437" s="1" t="s">
        <v>54</v>
      </c>
      <c r="J437" s="1" t="s">
        <v>55</v>
      </c>
      <c r="K437" s="1" t="s">
        <v>60</v>
      </c>
      <c r="L437" s="1" t="s">
        <v>23</v>
      </c>
      <c r="M437" s="1" t="s">
        <v>36</v>
      </c>
    </row>
    <row r="438" spans="1:13" x14ac:dyDescent="0.3">
      <c r="A438" s="1" t="s">
        <v>796</v>
      </c>
      <c r="B438" s="1" t="s">
        <v>209</v>
      </c>
      <c r="C438" s="1" t="s">
        <v>273</v>
      </c>
      <c r="D438" s="1" t="s">
        <v>50</v>
      </c>
      <c r="E438" s="1" t="s">
        <v>64</v>
      </c>
      <c r="F438" s="1" t="s">
        <v>65</v>
      </c>
      <c r="G438" s="1" t="s">
        <v>42</v>
      </c>
      <c r="H438" s="1" t="s">
        <v>127</v>
      </c>
      <c r="I438" s="1" t="s">
        <v>67</v>
      </c>
      <c r="J438" s="1" t="s">
        <v>68</v>
      </c>
      <c r="K438" s="1" t="s">
        <v>35</v>
      </c>
      <c r="L438" s="1" t="s">
        <v>46</v>
      </c>
      <c r="M438" s="1" t="s">
        <v>36</v>
      </c>
    </row>
    <row r="439" spans="1:13" x14ac:dyDescent="0.3">
      <c r="A439" s="1" t="s">
        <v>797</v>
      </c>
      <c r="B439" s="1" t="s">
        <v>126</v>
      </c>
      <c r="C439" s="1" t="s">
        <v>232</v>
      </c>
      <c r="D439" s="1" t="s">
        <v>124</v>
      </c>
      <c r="E439" s="1" t="s">
        <v>106</v>
      </c>
      <c r="F439" s="1" t="s">
        <v>107</v>
      </c>
      <c r="G439" s="1" t="s">
        <v>31</v>
      </c>
      <c r="H439" s="1" t="s">
        <v>85</v>
      </c>
      <c r="I439" s="1" t="s">
        <v>34</v>
      </c>
      <c r="J439" s="1" t="s">
        <v>108</v>
      </c>
      <c r="K439" s="1" t="s">
        <v>35</v>
      </c>
      <c r="L439" s="1" t="s">
        <v>46</v>
      </c>
      <c r="M439" s="1" t="s">
        <v>36</v>
      </c>
    </row>
    <row r="440" spans="1:13" x14ac:dyDescent="0.3">
      <c r="A440" s="1" t="s">
        <v>798</v>
      </c>
      <c r="B440" s="1" t="s">
        <v>283</v>
      </c>
      <c r="C440" s="1" t="s">
        <v>579</v>
      </c>
      <c r="D440" s="1" t="s">
        <v>124</v>
      </c>
      <c r="E440" s="1" t="s">
        <v>89</v>
      </c>
      <c r="F440" s="1" t="s">
        <v>90</v>
      </c>
      <c r="G440" s="1" t="s">
        <v>74</v>
      </c>
      <c r="H440" s="1" t="s">
        <v>91</v>
      </c>
      <c r="I440" s="1" t="s">
        <v>92</v>
      </c>
      <c r="J440" s="1" t="s">
        <v>93</v>
      </c>
      <c r="K440" s="1" t="s">
        <v>114</v>
      </c>
      <c r="L440" s="1" t="s">
        <v>23</v>
      </c>
      <c r="M440" s="1" t="s">
        <v>36</v>
      </c>
    </row>
    <row r="441" spans="1:13" x14ac:dyDescent="0.3">
      <c r="A441" s="1" t="s">
        <v>799</v>
      </c>
      <c r="B441" s="1" t="s">
        <v>360</v>
      </c>
      <c r="C441" s="1" t="s">
        <v>495</v>
      </c>
      <c r="D441" s="1" t="s">
        <v>50</v>
      </c>
      <c r="E441" s="1" t="s">
        <v>72</v>
      </c>
      <c r="F441" s="1" t="s">
        <v>73</v>
      </c>
      <c r="G441" s="1" t="s">
        <v>74</v>
      </c>
      <c r="H441" s="1" t="s">
        <v>53</v>
      </c>
      <c r="I441" s="1" t="s">
        <v>75</v>
      </c>
      <c r="J441" s="1" t="s">
        <v>76</v>
      </c>
      <c r="K441" s="1" t="s">
        <v>60</v>
      </c>
      <c r="L441" s="1" t="s">
        <v>46</v>
      </c>
      <c r="M441" s="1" t="s">
        <v>36</v>
      </c>
    </row>
    <row r="442" spans="1:13" x14ac:dyDescent="0.3">
      <c r="A442" s="1" t="s">
        <v>800</v>
      </c>
      <c r="B442" s="1" t="s">
        <v>801</v>
      </c>
      <c r="C442" s="1" t="s">
        <v>345</v>
      </c>
      <c r="D442" s="1" t="s">
        <v>28</v>
      </c>
      <c r="E442" s="1" t="s">
        <v>17</v>
      </c>
      <c r="F442" s="1" t="s">
        <v>18</v>
      </c>
      <c r="G442" s="1" t="s">
        <v>74</v>
      </c>
      <c r="H442" s="1" t="s">
        <v>66</v>
      </c>
      <c r="I442" s="1" t="s">
        <v>80</v>
      </c>
      <c r="J442" s="1" t="s">
        <v>81</v>
      </c>
      <c r="K442" s="1" t="s">
        <v>20</v>
      </c>
      <c r="L442" s="1" t="s">
        <v>46</v>
      </c>
      <c r="M442" s="1" t="s">
        <v>36</v>
      </c>
    </row>
    <row r="443" spans="1:13" x14ac:dyDescent="0.3">
      <c r="A443" s="1" t="s">
        <v>802</v>
      </c>
      <c r="B443" s="1" t="s">
        <v>424</v>
      </c>
      <c r="C443" s="1" t="s">
        <v>331</v>
      </c>
      <c r="D443" s="1" t="s">
        <v>28</v>
      </c>
      <c r="E443" s="1" t="s">
        <v>89</v>
      </c>
      <c r="F443" s="1" t="s">
        <v>90</v>
      </c>
      <c r="G443" s="1" t="s">
        <v>74</v>
      </c>
      <c r="H443" s="1" t="s">
        <v>66</v>
      </c>
      <c r="I443" s="1" t="s">
        <v>92</v>
      </c>
      <c r="J443" s="1" t="s">
        <v>93</v>
      </c>
      <c r="K443" s="1" t="s">
        <v>35</v>
      </c>
      <c r="L443" s="1" t="s">
        <v>23</v>
      </c>
      <c r="M443" s="1" t="s">
        <v>36</v>
      </c>
    </row>
    <row r="444" spans="1:13" x14ac:dyDescent="0.3">
      <c r="A444" s="1" t="s">
        <v>803</v>
      </c>
      <c r="B444" s="1" t="s">
        <v>543</v>
      </c>
      <c r="C444" s="1" t="s">
        <v>216</v>
      </c>
      <c r="D444" s="1" t="s">
        <v>28</v>
      </c>
      <c r="E444" s="1" t="s">
        <v>89</v>
      </c>
      <c r="F444" s="1" t="s">
        <v>90</v>
      </c>
      <c r="G444" s="1" t="s">
        <v>74</v>
      </c>
      <c r="H444" s="1" t="s">
        <v>85</v>
      </c>
      <c r="I444" s="1" t="s">
        <v>92</v>
      </c>
      <c r="J444" s="1" t="s">
        <v>93</v>
      </c>
      <c r="K444" s="1" t="s">
        <v>114</v>
      </c>
      <c r="L444" s="1" t="s">
        <v>23</v>
      </c>
      <c r="M444" s="1" t="s">
        <v>36</v>
      </c>
    </row>
    <row r="445" spans="1:13" x14ac:dyDescent="0.3">
      <c r="A445" s="1" t="s">
        <v>804</v>
      </c>
      <c r="B445" s="1" t="s">
        <v>113</v>
      </c>
      <c r="C445" s="1" t="s">
        <v>271</v>
      </c>
      <c r="D445" s="1" t="s">
        <v>28</v>
      </c>
      <c r="E445" s="1" t="s">
        <v>64</v>
      </c>
      <c r="F445" s="1" t="s">
        <v>65</v>
      </c>
      <c r="G445" s="1" t="s">
        <v>42</v>
      </c>
      <c r="H445" s="1" t="s">
        <v>66</v>
      </c>
      <c r="I445" s="1" t="s">
        <v>67</v>
      </c>
      <c r="J445" s="1" t="s">
        <v>68</v>
      </c>
      <c r="K445" s="1" t="s">
        <v>114</v>
      </c>
      <c r="L445" s="1" t="s">
        <v>23</v>
      </c>
      <c r="M445" s="1" t="s">
        <v>36</v>
      </c>
    </row>
    <row r="446" spans="1:13" x14ac:dyDescent="0.3">
      <c r="A446" s="1" t="s">
        <v>805</v>
      </c>
      <c r="B446" s="1" t="s">
        <v>806</v>
      </c>
      <c r="C446" s="1" t="s">
        <v>263</v>
      </c>
      <c r="D446" s="1" t="s">
        <v>50</v>
      </c>
      <c r="E446" s="1" t="s">
        <v>51</v>
      </c>
      <c r="F446" s="1" t="s">
        <v>52</v>
      </c>
      <c r="G446" s="1" t="s">
        <v>42</v>
      </c>
      <c r="H446" s="1" t="s">
        <v>32</v>
      </c>
      <c r="I446" s="1" t="s">
        <v>54</v>
      </c>
      <c r="J446" s="1" t="s">
        <v>55</v>
      </c>
      <c r="K446" s="1" t="s">
        <v>20</v>
      </c>
      <c r="L446" s="1" t="s">
        <v>23</v>
      </c>
      <c r="M446" s="1" t="s">
        <v>36</v>
      </c>
    </row>
    <row r="447" spans="1:13" x14ac:dyDescent="0.3">
      <c r="A447" s="1" t="s">
        <v>807</v>
      </c>
      <c r="B447" s="1" t="s">
        <v>470</v>
      </c>
      <c r="C447" s="1" t="s">
        <v>145</v>
      </c>
      <c r="D447" s="1" t="s">
        <v>59</v>
      </c>
      <c r="E447" s="1" t="s">
        <v>64</v>
      </c>
      <c r="F447" s="1" t="s">
        <v>65</v>
      </c>
      <c r="G447" s="1" t="s">
        <v>42</v>
      </c>
      <c r="H447" s="1" t="s">
        <v>149</v>
      </c>
      <c r="I447" s="1" t="s">
        <v>67</v>
      </c>
      <c r="J447" s="1" t="s">
        <v>16</v>
      </c>
      <c r="K447" s="1" t="s">
        <v>35</v>
      </c>
      <c r="L447" s="1" t="s">
        <v>46</v>
      </c>
      <c r="M447" s="1" t="s">
        <v>36</v>
      </c>
    </row>
    <row r="448" spans="1:13" x14ac:dyDescent="0.3">
      <c r="A448" s="1" t="s">
        <v>808</v>
      </c>
      <c r="B448" s="1" t="s">
        <v>486</v>
      </c>
      <c r="C448" s="1" t="s">
        <v>325</v>
      </c>
      <c r="D448" s="1" t="s">
        <v>50</v>
      </c>
      <c r="E448" s="1" t="s">
        <v>40</v>
      </c>
      <c r="F448" s="1" t="s">
        <v>41</v>
      </c>
      <c r="G448" s="1" t="s">
        <v>42</v>
      </c>
      <c r="H448" s="1" t="s">
        <v>53</v>
      </c>
      <c r="I448" s="1" t="s">
        <v>44</v>
      </c>
      <c r="J448" s="1" t="s">
        <v>45</v>
      </c>
      <c r="K448" s="1" t="s">
        <v>60</v>
      </c>
      <c r="L448" s="1" t="s">
        <v>46</v>
      </c>
      <c r="M448" s="1" t="s">
        <v>36</v>
      </c>
    </row>
    <row r="449" spans="1:13" x14ac:dyDescent="0.3">
      <c r="A449" s="1" t="s">
        <v>809</v>
      </c>
      <c r="B449" s="1" t="s">
        <v>810</v>
      </c>
      <c r="C449" s="1" t="s">
        <v>671</v>
      </c>
      <c r="D449" s="1" t="s">
        <v>124</v>
      </c>
      <c r="E449" s="1" t="s">
        <v>29</v>
      </c>
      <c r="F449" s="1" t="s">
        <v>30</v>
      </c>
      <c r="G449" s="1" t="s">
        <v>31</v>
      </c>
      <c r="H449" s="1" t="s">
        <v>85</v>
      </c>
      <c r="I449" s="1" t="s">
        <v>33</v>
      </c>
      <c r="J449" s="1" t="s">
        <v>34</v>
      </c>
      <c r="K449" s="1" t="s">
        <v>35</v>
      </c>
      <c r="L449" s="1" t="s">
        <v>23</v>
      </c>
      <c r="M449" s="1" t="s">
        <v>36</v>
      </c>
    </row>
    <row r="450" spans="1:13" x14ac:dyDescent="0.3">
      <c r="A450" s="1" t="s">
        <v>811</v>
      </c>
      <c r="B450" s="1" t="s">
        <v>196</v>
      </c>
      <c r="C450" s="1" t="s">
        <v>295</v>
      </c>
      <c r="D450" s="1" t="s">
        <v>28</v>
      </c>
      <c r="E450" s="1" t="s">
        <v>51</v>
      </c>
      <c r="F450" s="1" t="s">
        <v>52</v>
      </c>
      <c r="G450" s="1" t="s">
        <v>42</v>
      </c>
      <c r="H450" s="1" t="s">
        <v>66</v>
      </c>
      <c r="I450" s="1" t="s">
        <v>54</v>
      </c>
      <c r="J450" s="1" t="s">
        <v>55</v>
      </c>
      <c r="K450" s="1" t="s">
        <v>35</v>
      </c>
      <c r="L450" s="1" t="s">
        <v>46</v>
      </c>
      <c r="M450" s="1" t="s">
        <v>36</v>
      </c>
    </row>
    <row r="451" spans="1:13" x14ac:dyDescent="0.3">
      <c r="A451" s="1" t="s">
        <v>812</v>
      </c>
      <c r="B451" s="1" t="s">
        <v>265</v>
      </c>
      <c r="C451" s="1" t="s">
        <v>211</v>
      </c>
      <c r="D451" s="1" t="s">
        <v>28</v>
      </c>
      <c r="E451" s="1" t="s">
        <v>64</v>
      </c>
      <c r="F451" s="1" t="s">
        <v>65</v>
      </c>
      <c r="G451" s="1" t="s">
        <v>42</v>
      </c>
      <c r="H451" s="1" t="s">
        <v>43</v>
      </c>
      <c r="I451" s="1" t="s">
        <v>67</v>
      </c>
      <c r="J451" s="1" t="s">
        <v>68</v>
      </c>
      <c r="K451" s="1" t="s">
        <v>60</v>
      </c>
      <c r="L451" s="1" t="s">
        <v>23</v>
      </c>
      <c r="M451" s="1" t="s">
        <v>36</v>
      </c>
    </row>
    <row r="452" spans="1:13" x14ac:dyDescent="0.3">
      <c r="A452" s="1" t="s">
        <v>813</v>
      </c>
      <c r="B452" s="1" t="s">
        <v>199</v>
      </c>
      <c r="C452" s="1" t="s">
        <v>96</v>
      </c>
      <c r="D452" s="1" t="s">
        <v>28</v>
      </c>
      <c r="E452" s="1" t="s">
        <v>17</v>
      </c>
      <c r="F452" s="1" t="s">
        <v>18</v>
      </c>
      <c r="G452" s="1" t="s">
        <v>74</v>
      </c>
      <c r="H452" s="1" t="s">
        <v>149</v>
      </c>
      <c r="I452" s="1" t="s">
        <v>80</v>
      </c>
      <c r="J452" s="1" t="s">
        <v>81</v>
      </c>
      <c r="K452" s="1" t="s">
        <v>114</v>
      </c>
      <c r="L452" s="1" t="s">
        <v>46</v>
      </c>
      <c r="M452" s="1" t="s">
        <v>36</v>
      </c>
    </row>
    <row r="453" spans="1:13" x14ac:dyDescent="0.3">
      <c r="A453" s="1" t="s">
        <v>814</v>
      </c>
      <c r="B453" s="1" t="s">
        <v>226</v>
      </c>
      <c r="C453" s="1" t="s">
        <v>140</v>
      </c>
      <c r="D453" s="1" t="s">
        <v>59</v>
      </c>
      <c r="E453" s="1" t="s">
        <v>51</v>
      </c>
      <c r="F453" s="1" t="s">
        <v>52</v>
      </c>
      <c r="G453" s="1" t="s">
        <v>188</v>
      </c>
      <c r="H453" s="1" t="s">
        <v>53</v>
      </c>
      <c r="I453" s="1" t="s">
        <v>54</v>
      </c>
      <c r="J453" s="1" t="s">
        <v>55</v>
      </c>
      <c r="K453" s="1" t="s">
        <v>35</v>
      </c>
      <c r="L453" s="1" t="s">
        <v>23</v>
      </c>
      <c r="M453" s="1" t="s">
        <v>36</v>
      </c>
    </row>
    <row r="454" spans="1:13" x14ac:dyDescent="0.3">
      <c r="A454" s="1" t="s">
        <v>815</v>
      </c>
      <c r="B454" s="1" t="s">
        <v>317</v>
      </c>
      <c r="C454" s="1" t="s">
        <v>293</v>
      </c>
      <c r="D454" s="1" t="s">
        <v>59</v>
      </c>
      <c r="E454" s="1" t="s">
        <v>40</v>
      </c>
      <c r="F454" s="1" t="s">
        <v>41</v>
      </c>
      <c r="G454" s="1" t="s">
        <v>42</v>
      </c>
      <c r="H454" s="1" t="s">
        <v>66</v>
      </c>
      <c r="I454" s="1" t="s">
        <v>44</v>
      </c>
      <c r="J454" s="1" t="s">
        <v>45</v>
      </c>
      <c r="K454" s="1" t="s">
        <v>60</v>
      </c>
      <c r="L454" s="1" t="s">
        <v>23</v>
      </c>
      <c r="M454" s="1" t="s">
        <v>36</v>
      </c>
    </row>
    <row r="455" spans="1:13" x14ac:dyDescent="0.3">
      <c r="A455" s="1" t="s">
        <v>816</v>
      </c>
      <c r="B455" s="1" t="s">
        <v>571</v>
      </c>
      <c r="C455" s="1" t="s">
        <v>446</v>
      </c>
      <c r="D455" s="1" t="s">
        <v>50</v>
      </c>
      <c r="E455" s="1" t="s">
        <v>40</v>
      </c>
      <c r="F455" s="1" t="s">
        <v>41</v>
      </c>
      <c r="G455" s="1" t="s">
        <v>42</v>
      </c>
      <c r="H455" s="1" t="s">
        <v>85</v>
      </c>
      <c r="I455" s="1" t="s">
        <v>44</v>
      </c>
      <c r="J455" s="1" t="s">
        <v>45</v>
      </c>
      <c r="K455" s="1" t="s">
        <v>35</v>
      </c>
      <c r="L455" s="1" t="s">
        <v>23</v>
      </c>
      <c r="M455" s="1" t="s">
        <v>36</v>
      </c>
    </row>
    <row r="456" spans="1:13" x14ac:dyDescent="0.3">
      <c r="A456" s="1" t="s">
        <v>817</v>
      </c>
      <c r="B456" s="1" t="s">
        <v>435</v>
      </c>
      <c r="C456" s="1" t="s">
        <v>88</v>
      </c>
      <c r="D456" s="1" t="s">
        <v>59</v>
      </c>
      <c r="E456" s="1" t="s">
        <v>40</v>
      </c>
      <c r="F456" s="1" t="s">
        <v>41</v>
      </c>
      <c r="G456" s="1" t="s">
        <v>42</v>
      </c>
      <c r="H456" s="1" t="s">
        <v>66</v>
      </c>
      <c r="I456" s="1" t="s">
        <v>44</v>
      </c>
      <c r="J456" s="1" t="s">
        <v>45</v>
      </c>
      <c r="K456" s="1" t="s">
        <v>60</v>
      </c>
      <c r="L456" s="1" t="s">
        <v>46</v>
      </c>
      <c r="M456" s="1" t="s">
        <v>36</v>
      </c>
    </row>
    <row r="457" spans="1:13" x14ac:dyDescent="0.3">
      <c r="A457" s="1" t="s">
        <v>818</v>
      </c>
      <c r="B457" s="1" t="s">
        <v>240</v>
      </c>
      <c r="C457" s="1" t="s">
        <v>132</v>
      </c>
      <c r="D457" s="1" t="s">
        <v>59</v>
      </c>
      <c r="E457" s="1" t="s">
        <v>106</v>
      </c>
      <c r="F457" s="1" t="s">
        <v>107</v>
      </c>
      <c r="G457" s="1" t="s">
        <v>31</v>
      </c>
      <c r="H457" s="1" t="s">
        <v>53</v>
      </c>
      <c r="I457" s="1" t="s">
        <v>34</v>
      </c>
      <c r="J457" s="1" t="s">
        <v>108</v>
      </c>
      <c r="K457" s="1" t="s">
        <v>20</v>
      </c>
      <c r="L457" s="1" t="s">
        <v>23</v>
      </c>
      <c r="M457" s="1" t="s">
        <v>36</v>
      </c>
    </row>
    <row r="458" spans="1:13" x14ac:dyDescent="0.3">
      <c r="A458" s="1" t="s">
        <v>819</v>
      </c>
      <c r="B458" s="1" t="s">
        <v>586</v>
      </c>
      <c r="C458" s="1" t="s">
        <v>575</v>
      </c>
      <c r="D458" s="1" t="s">
        <v>124</v>
      </c>
      <c r="E458" s="1" t="s">
        <v>51</v>
      </c>
      <c r="F458" s="1" t="s">
        <v>52</v>
      </c>
      <c r="G458" s="1" t="s">
        <v>42</v>
      </c>
      <c r="H458" s="1" t="s">
        <v>43</v>
      </c>
      <c r="I458" s="1" t="s">
        <v>54</v>
      </c>
      <c r="J458" s="1" t="s">
        <v>55</v>
      </c>
      <c r="K458" s="1" t="s">
        <v>20</v>
      </c>
      <c r="L458" s="1" t="s">
        <v>23</v>
      </c>
      <c r="M458" s="1" t="s">
        <v>36</v>
      </c>
    </row>
    <row r="459" spans="1:13" x14ac:dyDescent="0.3">
      <c r="A459" s="1" t="s">
        <v>820</v>
      </c>
      <c r="B459" s="1" t="s">
        <v>821</v>
      </c>
      <c r="C459" s="1" t="s">
        <v>271</v>
      </c>
      <c r="D459" s="1" t="s">
        <v>28</v>
      </c>
      <c r="E459" s="1" t="s">
        <v>64</v>
      </c>
      <c r="F459" s="1" t="s">
        <v>65</v>
      </c>
      <c r="G459" s="1" t="s">
        <v>42</v>
      </c>
      <c r="H459" s="1" t="s">
        <v>91</v>
      </c>
      <c r="I459" s="1" t="s">
        <v>67</v>
      </c>
      <c r="J459" s="1" t="s">
        <v>68</v>
      </c>
      <c r="K459" s="1" t="s">
        <v>35</v>
      </c>
      <c r="L459" s="1" t="s">
        <v>46</v>
      </c>
      <c r="M459" s="1" t="s">
        <v>36</v>
      </c>
    </row>
    <row r="460" spans="1:13" x14ac:dyDescent="0.3">
      <c r="A460" s="1" t="s">
        <v>822</v>
      </c>
      <c r="B460" s="1" t="s">
        <v>456</v>
      </c>
      <c r="C460" s="1" t="s">
        <v>367</v>
      </c>
      <c r="D460" s="1" t="s">
        <v>28</v>
      </c>
      <c r="E460" s="1" t="s">
        <v>106</v>
      </c>
      <c r="F460" s="1" t="s">
        <v>107</v>
      </c>
      <c r="G460" s="1" t="s">
        <v>31</v>
      </c>
      <c r="H460" s="1" t="s">
        <v>66</v>
      </c>
      <c r="I460" s="1" t="s">
        <v>34</v>
      </c>
      <c r="J460" s="1" t="s">
        <v>108</v>
      </c>
      <c r="K460" s="1" t="s">
        <v>114</v>
      </c>
      <c r="L460" s="1" t="s">
        <v>46</v>
      </c>
      <c r="M460" s="1" t="s">
        <v>36</v>
      </c>
    </row>
    <row r="461" spans="1:13" x14ac:dyDescent="0.3">
      <c r="A461" s="1" t="s">
        <v>823</v>
      </c>
      <c r="B461" s="1" t="s">
        <v>317</v>
      </c>
      <c r="C461" s="1" t="s">
        <v>318</v>
      </c>
      <c r="D461" s="1" t="s">
        <v>50</v>
      </c>
      <c r="E461" s="1" t="s">
        <v>51</v>
      </c>
      <c r="F461" s="1" t="s">
        <v>52</v>
      </c>
      <c r="G461" s="1" t="s">
        <v>42</v>
      </c>
      <c r="H461" s="1" t="s">
        <v>66</v>
      </c>
      <c r="I461" s="1" t="s">
        <v>54</v>
      </c>
      <c r="J461" s="1" t="s">
        <v>55</v>
      </c>
      <c r="K461" s="1" t="s">
        <v>35</v>
      </c>
      <c r="L461" s="1" t="s">
        <v>23</v>
      </c>
      <c r="M461" s="1" t="s">
        <v>36</v>
      </c>
    </row>
    <row r="462" spans="1:13" x14ac:dyDescent="0.3">
      <c r="A462" s="1" t="s">
        <v>824</v>
      </c>
      <c r="B462" s="1" t="s">
        <v>825</v>
      </c>
      <c r="C462" s="1" t="s">
        <v>194</v>
      </c>
      <c r="D462" s="1" t="s">
        <v>59</v>
      </c>
      <c r="E462" s="1" t="s">
        <v>64</v>
      </c>
      <c r="F462" s="1" t="s">
        <v>65</v>
      </c>
      <c r="G462" s="1" t="s">
        <v>42</v>
      </c>
      <c r="H462" s="1" t="s">
        <v>149</v>
      </c>
      <c r="I462" s="1" t="s">
        <v>67</v>
      </c>
      <c r="J462" s="1" t="s">
        <v>68</v>
      </c>
      <c r="K462" s="1" t="s">
        <v>60</v>
      </c>
      <c r="L462" s="1" t="s">
        <v>46</v>
      </c>
      <c r="M462" s="1" t="s">
        <v>36</v>
      </c>
    </row>
    <row r="463" spans="1:13" x14ac:dyDescent="0.3">
      <c r="A463" s="1" t="s">
        <v>826</v>
      </c>
      <c r="B463" s="1" t="s">
        <v>573</v>
      </c>
      <c r="C463" s="1" t="s">
        <v>185</v>
      </c>
      <c r="D463" s="1" t="s">
        <v>59</v>
      </c>
      <c r="E463" s="1" t="s">
        <v>72</v>
      </c>
      <c r="F463" s="1" t="s">
        <v>73</v>
      </c>
      <c r="G463" s="1" t="s">
        <v>74</v>
      </c>
      <c r="H463" s="1" t="s">
        <v>91</v>
      </c>
      <c r="I463" s="1" t="s">
        <v>75</v>
      </c>
      <c r="J463" s="1" t="s">
        <v>76</v>
      </c>
      <c r="K463" s="1" t="s">
        <v>20</v>
      </c>
      <c r="L463" s="1" t="s">
        <v>46</v>
      </c>
      <c r="M463" s="1" t="s">
        <v>36</v>
      </c>
    </row>
    <row r="464" spans="1:13" x14ac:dyDescent="0.3">
      <c r="A464" s="1" t="s">
        <v>827</v>
      </c>
      <c r="B464" s="1" t="s">
        <v>221</v>
      </c>
      <c r="C464" s="1" t="s">
        <v>96</v>
      </c>
      <c r="D464" s="1" t="s">
        <v>59</v>
      </c>
      <c r="E464" s="1" t="s">
        <v>17</v>
      </c>
      <c r="F464" s="1" t="s">
        <v>18</v>
      </c>
      <c r="G464" s="1" t="s">
        <v>74</v>
      </c>
      <c r="H464" s="1" t="s">
        <v>32</v>
      </c>
      <c r="I464" s="1" t="s">
        <v>80</v>
      </c>
      <c r="J464" s="1" t="s">
        <v>81</v>
      </c>
      <c r="K464" s="1" t="s">
        <v>35</v>
      </c>
      <c r="L464" s="1" t="s">
        <v>46</v>
      </c>
      <c r="M464" s="1" t="s">
        <v>36</v>
      </c>
    </row>
    <row r="465" spans="1:13" x14ac:dyDescent="0.3">
      <c r="A465" s="1" t="s">
        <v>828</v>
      </c>
      <c r="B465" s="1" t="s">
        <v>829</v>
      </c>
      <c r="C465" s="1" t="s">
        <v>284</v>
      </c>
      <c r="D465" s="1" t="s">
        <v>28</v>
      </c>
      <c r="E465" s="1" t="s">
        <v>17</v>
      </c>
      <c r="F465" s="1" t="s">
        <v>18</v>
      </c>
      <c r="G465" s="1" t="s">
        <v>74</v>
      </c>
      <c r="H465" s="1" t="s">
        <v>149</v>
      </c>
      <c r="I465" s="1" t="s">
        <v>80</v>
      </c>
      <c r="J465" s="1" t="s">
        <v>81</v>
      </c>
      <c r="K465" s="1" t="s">
        <v>35</v>
      </c>
      <c r="L465" s="1" t="s">
        <v>23</v>
      </c>
      <c r="M465" s="1" t="s">
        <v>172</v>
      </c>
    </row>
    <row r="466" spans="1:13" x14ac:dyDescent="0.3">
      <c r="A466" s="1" t="s">
        <v>830</v>
      </c>
      <c r="B466" s="1" t="s">
        <v>684</v>
      </c>
      <c r="C466" s="1" t="s">
        <v>495</v>
      </c>
      <c r="D466" s="1" t="s">
        <v>503</v>
      </c>
      <c r="E466" s="1" t="s">
        <v>51</v>
      </c>
      <c r="F466" s="1" t="s">
        <v>52</v>
      </c>
      <c r="G466" s="1" t="s">
        <v>42</v>
      </c>
      <c r="H466" s="1" t="s">
        <v>53</v>
      </c>
      <c r="I466" s="1" t="s">
        <v>54</v>
      </c>
      <c r="J466" s="1" t="s">
        <v>55</v>
      </c>
      <c r="K466" s="1" t="s">
        <v>35</v>
      </c>
      <c r="L466" s="1" t="s">
        <v>23</v>
      </c>
      <c r="M466" s="1" t="s">
        <v>36</v>
      </c>
    </row>
    <row r="467" spans="1:13" x14ac:dyDescent="0.3">
      <c r="A467" s="1" t="s">
        <v>831</v>
      </c>
      <c r="B467" s="1" t="s">
        <v>231</v>
      </c>
      <c r="C467" s="1" t="s">
        <v>289</v>
      </c>
      <c r="D467" s="1" t="s">
        <v>124</v>
      </c>
      <c r="E467" s="1" t="s">
        <v>89</v>
      </c>
      <c r="F467" s="1" t="s">
        <v>90</v>
      </c>
      <c r="G467" s="1" t="s">
        <v>74</v>
      </c>
      <c r="H467" s="1" t="s">
        <v>91</v>
      </c>
      <c r="I467" s="1" t="s">
        <v>92</v>
      </c>
      <c r="J467" s="1" t="s">
        <v>93</v>
      </c>
      <c r="K467" s="1" t="s">
        <v>35</v>
      </c>
      <c r="L467" s="1" t="s">
        <v>46</v>
      </c>
      <c r="M467" s="1" t="s">
        <v>172</v>
      </c>
    </row>
    <row r="468" spans="1:13" x14ac:dyDescent="0.3">
      <c r="A468" s="1" t="s">
        <v>832</v>
      </c>
      <c r="B468" s="1" t="s">
        <v>165</v>
      </c>
      <c r="C468" s="1" t="s">
        <v>137</v>
      </c>
      <c r="D468" s="1" t="s">
        <v>124</v>
      </c>
      <c r="E468" s="1" t="s">
        <v>40</v>
      </c>
      <c r="F468" s="1" t="s">
        <v>41</v>
      </c>
      <c r="G468" s="1" t="s">
        <v>42</v>
      </c>
      <c r="H468" s="1" t="s">
        <v>32</v>
      </c>
      <c r="I468" s="1" t="s">
        <v>44</v>
      </c>
      <c r="J468" s="1" t="s">
        <v>45</v>
      </c>
      <c r="K468" s="1" t="s">
        <v>60</v>
      </c>
      <c r="L468" s="1" t="s">
        <v>46</v>
      </c>
      <c r="M468" s="1" t="s">
        <v>36</v>
      </c>
    </row>
    <row r="469" spans="1:13" x14ac:dyDescent="0.3">
      <c r="A469" s="1" t="s">
        <v>833</v>
      </c>
      <c r="B469" s="1" t="s">
        <v>142</v>
      </c>
      <c r="C469" s="1" t="s">
        <v>382</v>
      </c>
      <c r="D469" s="1" t="s">
        <v>59</v>
      </c>
      <c r="E469" s="1" t="s">
        <v>51</v>
      </c>
      <c r="F469" s="1" t="s">
        <v>52</v>
      </c>
      <c r="G469" s="1" t="s">
        <v>42</v>
      </c>
      <c r="H469" s="1" t="s">
        <v>66</v>
      </c>
      <c r="I469" s="1" t="s">
        <v>54</v>
      </c>
      <c r="J469" s="1" t="s">
        <v>55</v>
      </c>
      <c r="K469" s="1" t="s">
        <v>114</v>
      </c>
      <c r="L469" s="1" t="s">
        <v>46</v>
      </c>
      <c r="M469" s="1" t="s">
        <v>36</v>
      </c>
    </row>
    <row r="470" spans="1:13" x14ac:dyDescent="0.3">
      <c r="A470" s="1" t="s">
        <v>834</v>
      </c>
      <c r="B470" s="1" t="s">
        <v>456</v>
      </c>
      <c r="C470" s="1" t="s">
        <v>39</v>
      </c>
      <c r="D470" s="1" t="s">
        <v>124</v>
      </c>
      <c r="E470" s="1" t="s">
        <v>40</v>
      </c>
      <c r="F470" s="1" t="s">
        <v>41</v>
      </c>
      <c r="G470" s="1" t="s">
        <v>42</v>
      </c>
      <c r="H470" s="1" t="s">
        <v>66</v>
      </c>
      <c r="I470" s="1" t="s">
        <v>44</v>
      </c>
      <c r="J470" s="1" t="s">
        <v>45</v>
      </c>
      <c r="K470" s="1" t="s">
        <v>20</v>
      </c>
      <c r="L470" s="1" t="s">
        <v>23</v>
      </c>
      <c r="M470" s="1" t="s">
        <v>36</v>
      </c>
    </row>
    <row r="471" spans="1:13" x14ac:dyDescent="0.3">
      <c r="A471" s="1" t="s">
        <v>835</v>
      </c>
      <c r="B471" s="1" t="s">
        <v>129</v>
      </c>
      <c r="C471" s="1" t="s">
        <v>579</v>
      </c>
      <c r="D471" s="1" t="s">
        <v>50</v>
      </c>
      <c r="E471" s="1" t="s">
        <v>106</v>
      </c>
      <c r="F471" s="1" t="s">
        <v>107</v>
      </c>
      <c r="G471" s="1" t="s">
        <v>31</v>
      </c>
      <c r="H471" s="1" t="s">
        <v>43</v>
      </c>
      <c r="I471" s="1" t="s">
        <v>34</v>
      </c>
      <c r="J471" s="1" t="s">
        <v>108</v>
      </c>
      <c r="K471" s="1" t="s">
        <v>20</v>
      </c>
      <c r="L471" s="1" t="s">
        <v>46</v>
      </c>
      <c r="M471" s="1" t="s">
        <v>24</v>
      </c>
    </row>
    <row r="472" spans="1:13" x14ac:dyDescent="0.3">
      <c r="A472" s="1" t="s">
        <v>836</v>
      </c>
      <c r="B472" s="1" t="s">
        <v>139</v>
      </c>
      <c r="C472" s="1" t="s">
        <v>390</v>
      </c>
      <c r="D472" s="1" t="s">
        <v>50</v>
      </c>
      <c r="E472" s="1" t="s">
        <v>106</v>
      </c>
      <c r="F472" s="1" t="s">
        <v>107</v>
      </c>
      <c r="G472" s="1" t="s">
        <v>31</v>
      </c>
      <c r="H472" s="1" t="s">
        <v>32</v>
      </c>
      <c r="I472" s="1" t="s">
        <v>34</v>
      </c>
      <c r="J472" s="1" t="s">
        <v>108</v>
      </c>
      <c r="K472" s="1" t="s">
        <v>311</v>
      </c>
      <c r="L472" s="1" t="s">
        <v>23</v>
      </c>
      <c r="M472" s="1" t="s">
        <v>36</v>
      </c>
    </row>
    <row r="473" spans="1:13" x14ac:dyDescent="0.3">
      <c r="A473" s="1" t="s">
        <v>837</v>
      </c>
      <c r="B473" s="1" t="s">
        <v>337</v>
      </c>
      <c r="C473" s="1" t="s">
        <v>232</v>
      </c>
      <c r="D473" s="1" t="s">
        <v>124</v>
      </c>
      <c r="E473" s="1" t="s">
        <v>106</v>
      </c>
      <c r="F473" s="1" t="s">
        <v>107</v>
      </c>
      <c r="G473" s="1" t="s">
        <v>31</v>
      </c>
      <c r="H473" s="1" t="s">
        <v>127</v>
      </c>
      <c r="I473" s="1" t="s">
        <v>34</v>
      </c>
      <c r="J473" s="1" t="s">
        <v>108</v>
      </c>
      <c r="K473" s="1" t="s">
        <v>60</v>
      </c>
      <c r="L473" s="1" t="s">
        <v>23</v>
      </c>
      <c r="M473" s="1" t="s">
        <v>36</v>
      </c>
    </row>
    <row r="474" spans="1:13" x14ac:dyDescent="0.3">
      <c r="A474" s="1" t="s">
        <v>838</v>
      </c>
      <c r="B474" s="1" t="s">
        <v>839</v>
      </c>
      <c r="C474" s="1" t="s">
        <v>169</v>
      </c>
      <c r="D474" s="1" t="s">
        <v>28</v>
      </c>
      <c r="E474" s="1" t="s">
        <v>51</v>
      </c>
      <c r="F474" s="1" t="s">
        <v>52</v>
      </c>
      <c r="G474" s="1" t="s">
        <v>42</v>
      </c>
      <c r="H474" s="1" t="s">
        <v>85</v>
      </c>
      <c r="I474" s="1" t="s">
        <v>54</v>
      </c>
      <c r="J474" s="1" t="s">
        <v>55</v>
      </c>
      <c r="K474" s="1" t="s">
        <v>35</v>
      </c>
      <c r="L474" s="1" t="s">
        <v>46</v>
      </c>
      <c r="M474" s="1" t="s">
        <v>36</v>
      </c>
    </row>
    <row r="475" spans="1:13" x14ac:dyDescent="0.3">
      <c r="A475" s="1" t="s">
        <v>840</v>
      </c>
      <c r="B475" s="1" t="s">
        <v>307</v>
      </c>
      <c r="C475" s="1" t="s">
        <v>295</v>
      </c>
      <c r="D475" s="1" t="s">
        <v>124</v>
      </c>
      <c r="E475" s="1" t="s">
        <v>89</v>
      </c>
      <c r="F475" s="1" t="s">
        <v>90</v>
      </c>
      <c r="G475" s="1" t="s">
        <v>74</v>
      </c>
      <c r="H475" s="1" t="s">
        <v>85</v>
      </c>
      <c r="I475" s="1" t="s">
        <v>92</v>
      </c>
      <c r="J475" s="1" t="s">
        <v>93</v>
      </c>
      <c r="K475" s="1" t="s">
        <v>20</v>
      </c>
      <c r="L475" s="1" t="s">
        <v>23</v>
      </c>
      <c r="M475" s="1" t="s">
        <v>36</v>
      </c>
    </row>
    <row r="476" spans="1:13" x14ac:dyDescent="0.3">
      <c r="A476" s="1" t="s">
        <v>841</v>
      </c>
      <c r="B476" s="1" t="s">
        <v>62</v>
      </c>
      <c r="C476" s="1" t="s">
        <v>117</v>
      </c>
      <c r="D476" s="1" t="s">
        <v>50</v>
      </c>
      <c r="E476" s="1" t="s">
        <v>89</v>
      </c>
      <c r="F476" s="1" t="s">
        <v>90</v>
      </c>
      <c r="G476" s="1" t="s">
        <v>74</v>
      </c>
      <c r="H476" s="1" t="s">
        <v>149</v>
      </c>
      <c r="I476" s="1" t="s">
        <v>92</v>
      </c>
      <c r="J476" s="1" t="s">
        <v>93</v>
      </c>
      <c r="K476" s="1" t="s">
        <v>60</v>
      </c>
      <c r="L476" s="1" t="s">
        <v>23</v>
      </c>
      <c r="M476" s="1" t="s">
        <v>36</v>
      </c>
    </row>
    <row r="477" spans="1:13" x14ac:dyDescent="0.3">
      <c r="A477" s="1" t="s">
        <v>842</v>
      </c>
      <c r="B477" s="1" t="s">
        <v>288</v>
      </c>
      <c r="C477" s="1" t="s">
        <v>451</v>
      </c>
      <c r="D477" s="1" t="s">
        <v>50</v>
      </c>
      <c r="E477" s="1" t="s">
        <v>106</v>
      </c>
      <c r="F477" s="1" t="s">
        <v>107</v>
      </c>
      <c r="G477" s="1" t="s">
        <v>31</v>
      </c>
      <c r="H477" s="1" t="s">
        <v>53</v>
      </c>
      <c r="I477" s="1" t="s">
        <v>34</v>
      </c>
      <c r="J477" s="1" t="s">
        <v>108</v>
      </c>
      <c r="K477" s="1" t="s">
        <v>35</v>
      </c>
      <c r="L477" s="1" t="s">
        <v>23</v>
      </c>
      <c r="M477" s="1" t="s">
        <v>36</v>
      </c>
    </row>
    <row r="478" spans="1:13" x14ac:dyDescent="0.3">
      <c r="A478" s="1" t="s">
        <v>843</v>
      </c>
      <c r="B478" s="1" t="s">
        <v>257</v>
      </c>
      <c r="C478" s="1" t="s">
        <v>377</v>
      </c>
      <c r="D478" s="1" t="s">
        <v>28</v>
      </c>
      <c r="E478" s="1" t="s">
        <v>17</v>
      </c>
      <c r="F478" s="1" t="s">
        <v>18</v>
      </c>
      <c r="G478" s="1" t="s">
        <v>74</v>
      </c>
      <c r="H478" s="1" t="s">
        <v>91</v>
      </c>
      <c r="I478" s="1" t="s">
        <v>80</v>
      </c>
      <c r="J478" s="1" t="s">
        <v>81</v>
      </c>
      <c r="K478" s="1" t="s">
        <v>60</v>
      </c>
      <c r="L478" s="1" t="s">
        <v>23</v>
      </c>
      <c r="M478" s="1" t="s">
        <v>36</v>
      </c>
    </row>
    <row r="479" spans="1:13" x14ac:dyDescent="0.3">
      <c r="A479" s="1" t="s">
        <v>844</v>
      </c>
      <c r="B479" s="1" t="s">
        <v>435</v>
      </c>
      <c r="C479" s="1" t="s">
        <v>15</v>
      </c>
      <c r="D479" s="1" t="s">
        <v>59</v>
      </c>
      <c r="E479" s="1" t="s">
        <v>106</v>
      </c>
      <c r="F479" s="1" t="s">
        <v>107</v>
      </c>
      <c r="G479" s="1" t="s">
        <v>31</v>
      </c>
      <c r="H479" s="1" t="s">
        <v>66</v>
      </c>
      <c r="I479" s="1" t="s">
        <v>845</v>
      </c>
      <c r="J479" s="1" t="s">
        <v>108</v>
      </c>
      <c r="K479" s="1" t="s">
        <v>114</v>
      </c>
      <c r="L479" s="1" t="s">
        <v>46</v>
      </c>
      <c r="M479" s="1" t="s">
        <v>36</v>
      </c>
    </row>
    <row r="480" spans="1:13" x14ac:dyDescent="0.3">
      <c r="A480" s="1" t="s">
        <v>846</v>
      </c>
      <c r="B480" s="1" t="s">
        <v>730</v>
      </c>
      <c r="C480" s="1" t="s">
        <v>235</v>
      </c>
      <c r="D480" s="1" t="s">
        <v>59</v>
      </c>
      <c r="E480" s="1" t="s">
        <v>51</v>
      </c>
      <c r="F480" s="1" t="s">
        <v>52</v>
      </c>
      <c r="G480" s="1" t="s">
        <v>42</v>
      </c>
      <c r="H480" s="1" t="s">
        <v>149</v>
      </c>
      <c r="I480" s="1" t="s">
        <v>54</v>
      </c>
      <c r="J480" s="1" t="s">
        <v>55</v>
      </c>
      <c r="K480" s="1" t="s">
        <v>114</v>
      </c>
      <c r="L480" s="1" t="s">
        <v>23</v>
      </c>
      <c r="M480" s="1" t="s">
        <v>36</v>
      </c>
    </row>
    <row r="481" spans="1:13" x14ac:dyDescent="0.3">
      <c r="A481" s="1" t="s">
        <v>847</v>
      </c>
      <c r="B481" s="1" t="s">
        <v>598</v>
      </c>
      <c r="C481" s="1" t="s">
        <v>120</v>
      </c>
      <c r="D481" s="1" t="s">
        <v>28</v>
      </c>
      <c r="E481" s="1" t="s">
        <v>89</v>
      </c>
      <c r="F481" s="1" t="s">
        <v>90</v>
      </c>
      <c r="G481" s="1" t="s">
        <v>74</v>
      </c>
      <c r="H481" s="1" t="s">
        <v>66</v>
      </c>
      <c r="I481" s="1" t="s">
        <v>92</v>
      </c>
      <c r="J481" s="1" t="s">
        <v>93</v>
      </c>
      <c r="K481" s="1" t="s">
        <v>35</v>
      </c>
      <c r="L481" s="1" t="s">
        <v>46</v>
      </c>
      <c r="M481" s="1" t="s">
        <v>36</v>
      </c>
    </row>
    <row r="482" spans="1:13" x14ac:dyDescent="0.3">
      <c r="A482" s="1" t="s">
        <v>848</v>
      </c>
      <c r="B482" s="1" t="s">
        <v>240</v>
      </c>
      <c r="C482" s="1" t="s">
        <v>462</v>
      </c>
      <c r="D482" s="1" t="s">
        <v>50</v>
      </c>
      <c r="E482" s="1" t="s">
        <v>106</v>
      </c>
      <c r="F482" s="1" t="s">
        <v>107</v>
      </c>
      <c r="G482" s="1" t="s">
        <v>31</v>
      </c>
      <c r="H482" s="1" t="s">
        <v>66</v>
      </c>
      <c r="I482" s="1" t="s">
        <v>34</v>
      </c>
      <c r="J482" s="1" t="s">
        <v>108</v>
      </c>
      <c r="K482" s="1" t="s">
        <v>114</v>
      </c>
      <c r="L482" s="1" t="s">
        <v>23</v>
      </c>
      <c r="M482" s="1" t="s">
        <v>36</v>
      </c>
    </row>
    <row r="483" spans="1:13" x14ac:dyDescent="0.3">
      <c r="A483" s="1" t="s">
        <v>849</v>
      </c>
      <c r="B483" s="1" t="s">
        <v>850</v>
      </c>
      <c r="C483" s="1" t="s">
        <v>320</v>
      </c>
      <c r="D483" s="1" t="s">
        <v>28</v>
      </c>
      <c r="E483" s="1" t="s">
        <v>29</v>
      </c>
      <c r="F483" s="1" t="s">
        <v>30</v>
      </c>
      <c r="G483" s="1" t="s">
        <v>31</v>
      </c>
      <c r="H483" s="1" t="s">
        <v>127</v>
      </c>
      <c r="I483" s="1" t="s">
        <v>33</v>
      </c>
      <c r="J483" s="1" t="s">
        <v>34</v>
      </c>
      <c r="K483" s="1" t="s">
        <v>20</v>
      </c>
      <c r="L483" s="1" t="s">
        <v>23</v>
      </c>
      <c r="M483" s="1" t="s">
        <v>36</v>
      </c>
    </row>
    <row r="484" spans="1:13" x14ac:dyDescent="0.3">
      <c r="A484" s="1" t="s">
        <v>851</v>
      </c>
      <c r="B484" s="1" t="s">
        <v>468</v>
      </c>
      <c r="C484" s="1" t="s">
        <v>271</v>
      </c>
      <c r="D484" s="1" t="s">
        <v>59</v>
      </c>
      <c r="E484" s="1" t="s">
        <v>89</v>
      </c>
      <c r="F484" s="1" t="s">
        <v>90</v>
      </c>
      <c r="G484" s="1" t="s">
        <v>74</v>
      </c>
      <c r="H484" s="1" t="s">
        <v>91</v>
      </c>
      <c r="I484" s="1" t="s">
        <v>92</v>
      </c>
      <c r="J484" s="1" t="s">
        <v>93</v>
      </c>
      <c r="K484" s="1" t="s">
        <v>114</v>
      </c>
      <c r="L484" s="1" t="s">
        <v>46</v>
      </c>
      <c r="M484" s="1" t="s">
        <v>36</v>
      </c>
    </row>
    <row r="485" spans="1:13" x14ac:dyDescent="0.3">
      <c r="A485" s="1" t="s">
        <v>852</v>
      </c>
      <c r="B485" s="1" t="s">
        <v>601</v>
      </c>
      <c r="C485" s="1" t="s">
        <v>513</v>
      </c>
      <c r="D485" s="1" t="s">
        <v>124</v>
      </c>
      <c r="E485" s="1" t="s">
        <v>29</v>
      </c>
      <c r="F485" s="1" t="s">
        <v>30</v>
      </c>
      <c r="G485" s="1" t="s">
        <v>31</v>
      </c>
      <c r="H485" s="1" t="s">
        <v>149</v>
      </c>
      <c r="I485" s="1" t="s">
        <v>33</v>
      </c>
      <c r="J485" s="1" t="s">
        <v>34</v>
      </c>
      <c r="K485" s="1" t="s">
        <v>60</v>
      </c>
      <c r="L485" s="1" t="s">
        <v>23</v>
      </c>
      <c r="M485" s="1" t="s">
        <v>36</v>
      </c>
    </row>
    <row r="486" spans="1:13" x14ac:dyDescent="0.3">
      <c r="A486" s="1" t="s">
        <v>853</v>
      </c>
      <c r="B486" s="1" t="s">
        <v>171</v>
      </c>
      <c r="C486" s="1" t="s">
        <v>293</v>
      </c>
      <c r="D486" s="1" t="s">
        <v>50</v>
      </c>
      <c r="E486" s="1" t="s">
        <v>89</v>
      </c>
      <c r="F486" s="1" t="s">
        <v>90</v>
      </c>
      <c r="G486" s="1" t="s">
        <v>74</v>
      </c>
      <c r="H486" s="1" t="s">
        <v>32</v>
      </c>
      <c r="I486" s="1" t="s">
        <v>92</v>
      </c>
      <c r="J486" s="1" t="s">
        <v>93</v>
      </c>
      <c r="K486" s="1" t="s">
        <v>20</v>
      </c>
      <c r="L486" s="1" t="s">
        <v>46</v>
      </c>
      <c r="M486" s="1" t="s">
        <v>36</v>
      </c>
    </row>
    <row r="487" spans="1:13" x14ac:dyDescent="0.3">
      <c r="A487" s="1" t="s">
        <v>854</v>
      </c>
      <c r="B487" s="1" t="s">
        <v>199</v>
      </c>
      <c r="C487" s="1" t="s">
        <v>155</v>
      </c>
      <c r="D487" s="1" t="s">
        <v>59</v>
      </c>
      <c r="E487" s="1" t="s">
        <v>29</v>
      </c>
      <c r="F487" s="1" t="s">
        <v>30</v>
      </c>
      <c r="G487" s="1" t="s">
        <v>31</v>
      </c>
      <c r="H487" s="1" t="s">
        <v>20</v>
      </c>
      <c r="I487" s="1" t="s">
        <v>33</v>
      </c>
      <c r="J487" s="1" t="s">
        <v>34</v>
      </c>
      <c r="K487" s="1" t="s">
        <v>114</v>
      </c>
      <c r="L487" s="1" t="s">
        <v>23</v>
      </c>
      <c r="M487" s="1" t="s">
        <v>36</v>
      </c>
    </row>
    <row r="488" spans="1:13" x14ac:dyDescent="0.3">
      <c r="A488" s="1" t="s">
        <v>855</v>
      </c>
      <c r="B488" s="1" t="s">
        <v>168</v>
      </c>
      <c r="C488" s="1" t="s">
        <v>260</v>
      </c>
      <c r="D488" s="1" t="s">
        <v>28</v>
      </c>
      <c r="E488" s="1" t="s">
        <v>40</v>
      </c>
      <c r="F488" s="1" t="s">
        <v>41</v>
      </c>
      <c r="G488" s="1" t="s">
        <v>42</v>
      </c>
      <c r="H488" s="1" t="s">
        <v>149</v>
      </c>
      <c r="I488" s="1" t="s">
        <v>44</v>
      </c>
      <c r="J488" s="1" t="s">
        <v>45</v>
      </c>
      <c r="K488" s="1" t="s">
        <v>114</v>
      </c>
      <c r="L488" s="1" t="s">
        <v>23</v>
      </c>
      <c r="M488" s="1" t="s">
        <v>36</v>
      </c>
    </row>
    <row r="489" spans="1:13" x14ac:dyDescent="0.3">
      <c r="A489" s="1" t="s">
        <v>856</v>
      </c>
      <c r="B489" s="1" t="s">
        <v>101</v>
      </c>
      <c r="C489" s="1" t="s">
        <v>333</v>
      </c>
      <c r="D489" s="1" t="s">
        <v>50</v>
      </c>
      <c r="E489" s="1" t="s">
        <v>51</v>
      </c>
      <c r="F489" s="1" t="s">
        <v>52</v>
      </c>
      <c r="G489" s="1" t="s">
        <v>42</v>
      </c>
      <c r="H489" s="1" t="s">
        <v>32</v>
      </c>
      <c r="I489" s="1" t="s">
        <v>54</v>
      </c>
      <c r="J489" s="1" t="s">
        <v>55</v>
      </c>
      <c r="K489" s="1" t="s">
        <v>20</v>
      </c>
      <c r="L489" s="1" t="s">
        <v>23</v>
      </c>
      <c r="M489" s="1" t="s">
        <v>172</v>
      </c>
    </row>
    <row r="490" spans="1:13" x14ac:dyDescent="0.3">
      <c r="A490" s="1" t="s">
        <v>857</v>
      </c>
      <c r="B490" s="1" t="s">
        <v>483</v>
      </c>
      <c r="C490" s="1" t="s">
        <v>279</v>
      </c>
      <c r="D490" s="1" t="s">
        <v>59</v>
      </c>
      <c r="E490" s="1" t="s">
        <v>17</v>
      </c>
      <c r="F490" s="1" t="s">
        <v>18</v>
      </c>
      <c r="G490" s="1" t="s">
        <v>74</v>
      </c>
      <c r="H490" s="1" t="s">
        <v>127</v>
      </c>
      <c r="I490" s="1" t="s">
        <v>80</v>
      </c>
      <c r="J490" s="1" t="s">
        <v>81</v>
      </c>
      <c r="K490" s="1" t="s">
        <v>60</v>
      </c>
      <c r="L490" s="1" t="s">
        <v>46</v>
      </c>
      <c r="M490" s="1" t="s">
        <v>36</v>
      </c>
    </row>
    <row r="491" spans="1:13" x14ac:dyDescent="0.3">
      <c r="A491" s="1" t="s">
        <v>858</v>
      </c>
      <c r="B491" s="1" t="s">
        <v>158</v>
      </c>
      <c r="C491" s="1" t="s">
        <v>232</v>
      </c>
      <c r="D491" s="1" t="s">
        <v>28</v>
      </c>
      <c r="E491" s="1" t="s">
        <v>106</v>
      </c>
      <c r="F491" s="1" t="s">
        <v>107</v>
      </c>
      <c r="G491" s="1" t="s">
        <v>31</v>
      </c>
      <c r="H491" s="1" t="s">
        <v>53</v>
      </c>
      <c r="I491" s="1" t="s">
        <v>34</v>
      </c>
      <c r="J491" s="1" t="s">
        <v>108</v>
      </c>
      <c r="K491" s="1" t="s">
        <v>114</v>
      </c>
      <c r="L491" s="1" t="s">
        <v>46</v>
      </c>
      <c r="M491" s="1" t="s">
        <v>36</v>
      </c>
    </row>
    <row r="492" spans="1:13" x14ac:dyDescent="0.3">
      <c r="A492" s="1" t="s">
        <v>859</v>
      </c>
      <c r="B492" s="1" t="s">
        <v>420</v>
      </c>
      <c r="C492" s="1" t="s">
        <v>238</v>
      </c>
      <c r="D492" s="1" t="s">
        <v>59</v>
      </c>
      <c r="E492" s="1" t="s">
        <v>106</v>
      </c>
      <c r="F492" s="1" t="s">
        <v>107</v>
      </c>
      <c r="G492" s="1" t="s">
        <v>31</v>
      </c>
      <c r="H492" s="1" t="s">
        <v>43</v>
      </c>
      <c r="I492" s="1" t="s">
        <v>34</v>
      </c>
      <c r="J492" s="1" t="s">
        <v>108</v>
      </c>
      <c r="K492" s="1" t="s">
        <v>60</v>
      </c>
      <c r="L492" s="1" t="s">
        <v>46</v>
      </c>
      <c r="M492" s="1" t="s">
        <v>36</v>
      </c>
    </row>
    <row r="493" spans="1:13" x14ac:dyDescent="0.3">
      <c r="A493" s="1" t="s">
        <v>860</v>
      </c>
      <c r="B493" s="1" t="s">
        <v>395</v>
      </c>
      <c r="C493" s="1" t="s">
        <v>425</v>
      </c>
      <c r="D493" s="1" t="s">
        <v>124</v>
      </c>
      <c r="E493" s="1" t="s">
        <v>89</v>
      </c>
      <c r="F493" s="1" t="s">
        <v>90</v>
      </c>
      <c r="G493" s="1" t="s">
        <v>74</v>
      </c>
      <c r="H493" s="1" t="s">
        <v>66</v>
      </c>
      <c r="I493" s="1" t="s">
        <v>92</v>
      </c>
      <c r="J493" s="1" t="s">
        <v>93</v>
      </c>
      <c r="K493" s="1" t="s">
        <v>60</v>
      </c>
      <c r="L493" s="1" t="s">
        <v>23</v>
      </c>
      <c r="M493" s="1" t="s">
        <v>36</v>
      </c>
    </row>
    <row r="494" spans="1:13" x14ac:dyDescent="0.3">
      <c r="A494" s="1" t="s">
        <v>861</v>
      </c>
      <c r="B494" s="1" t="s">
        <v>95</v>
      </c>
      <c r="C494" s="1" t="s">
        <v>155</v>
      </c>
      <c r="D494" s="1" t="s">
        <v>124</v>
      </c>
      <c r="E494" s="1" t="s">
        <v>72</v>
      </c>
      <c r="F494" s="1" t="s">
        <v>73</v>
      </c>
      <c r="G494" s="1" t="s">
        <v>19</v>
      </c>
      <c r="H494" s="1" t="s">
        <v>127</v>
      </c>
      <c r="I494" s="1" t="s">
        <v>75</v>
      </c>
      <c r="J494" s="1" t="s">
        <v>76</v>
      </c>
      <c r="K494" s="1" t="s">
        <v>60</v>
      </c>
      <c r="L494" s="1" t="s">
        <v>23</v>
      </c>
      <c r="M494" s="1" t="s">
        <v>36</v>
      </c>
    </row>
    <row r="495" spans="1:13" x14ac:dyDescent="0.3">
      <c r="A495" s="1" t="s">
        <v>862</v>
      </c>
      <c r="B495" s="1" t="s">
        <v>288</v>
      </c>
      <c r="C495" s="1" t="s">
        <v>320</v>
      </c>
      <c r="D495" s="1" t="s">
        <v>233</v>
      </c>
      <c r="E495" s="1" t="s">
        <v>89</v>
      </c>
      <c r="F495" s="1" t="s">
        <v>90</v>
      </c>
      <c r="G495" s="1" t="s">
        <v>74</v>
      </c>
      <c r="H495" s="1" t="s">
        <v>43</v>
      </c>
      <c r="I495" s="1" t="s">
        <v>92</v>
      </c>
      <c r="J495" s="1" t="s">
        <v>93</v>
      </c>
      <c r="K495" s="1" t="s">
        <v>35</v>
      </c>
      <c r="L495" s="1" t="s">
        <v>46</v>
      </c>
      <c r="M495" s="1" t="s">
        <v>36</v>
      </c>
    </row>
    <row r="496" spans="1:13" x14ac:dyDescent="0.3">
      <c r="A496" s="1" t="s">
        <v>863</v>
      </c>
      <c r="B496" s="1" t="s">
        <v>366</v>
      </c>
      <c r="C496" s="1" t="s">
        <v>79</v>
      </c>
      <c r="D496" s="1" t="s">
        <v>124</v>
      </c>
      <c r="E496" s="1" t="s">
        <v>89</v>
      </c>
      <c r="F496" s="1" t="s">
        <v>90</v>
      </c>
      <c r="G496" s="1" t="s">
        <v>74</v>
      </c>
      <c r="H496" s="1" t="s">
        <v>127</v>
      </c>
      <c r="I496" s="1" t="s">
        <v>92</v>
      </c>
      <c r="J496" s="1" t="s">
        <v>93</v>
      </c>
      <c r="K496" s="1" t="s">
        <v>35</v>
      </c>
      <c r="L496" s="1" t="s">
        <v>23</v>
      </c>
      <c r="M496" s="1" t="s">
        <v>36</v>
      </c>
    </row>
    <row r="497" spans="1:13" x14ac:dyDescent="0.3">
      <c r="A497" s="1" t="s">
        <v>864</v>
      </c>
      <c r="B497" s="1" t="s">
        <v>557</v>
      </c>
      <c r="C497" s="1" t="s">
        <v>273</v>
      </c>
      <c r="D497" s="1" t="s">
        <v>124</v>
      </c>
      <c r="E497" s="1" t="s">
        <v>72</v>
      </c>
      <c r="F497" s="1" t="s">
        <v>73</v>
      </c>
      <c r="G497" s="1" t="s">
        <v>74</v>
      </c>
      <c r="H497" s="1" t="s">
        <v>85</v>
      </c>
      <c r="I497" s="1" t="s">
        <v>75</v>
      </c>
      <c r="J497" s="1" t="s">
        <v>76</v>
      </c>
      <c r="K497" s="1" t="s">
        <v>35</v>
      </c>
      <c r="L497" s="1" t="s">
        <v>46</v>
      </c>
      <c r="M497" s="1" t="s">
        <v>36</v>
      </c>
    </row>
    <row r="498" spans="1:13" x14ac:dyDescent="0.3">
      <c r="A498" s="1" t="s">
        <v>865</v>
      </c>
      <c r="B498" s="1" t="s">
        <v>221</v>
      </c>
      <c r="C498" s="1" t="s">
        <v>260</v>
      </c>
      <c r="D498" s="1" t="s">
        <v>50</v>
      </c>
      <c r="E498" s="1" t="s">
        <v>106</v>
      </c>
      <c r="F498" s="1" t="s">
        <v>107</v>
      </c>
      <c r="G498" s="1" t="s">
        <v>31</v>
      </c>
      <c r="H498" s="1" t="s">
        <v>85</v>
      </c>
      <c r="I498" s="1" t="s">
        <v>34</v>
      </c>
      <c r="J498" s="1" t="s">
        <v>108</v>
      </c>
      <c r="K498" s="1" t="s">
        <v>60</v>
      </c>
      <c r="L498" s="1" t="s">
        <v>46</v>
      </c>
      <c r="M498" s="1" t="s">
        <v>36</v>
      </c>
    </row>
    <row r="499" spans="1:13" x14ac:dyDescent="0.3">
      <c r="A499" s="1" t="s">
        <v>866</v>
      </c>
      <c r="B499" s="1" t="s">
        <v>257</v>
      </c>
      <c r="C499" s="1" t="s">
        <v>322</v>
      </c>
      <c r="D499" s="1" t="s">
        <v>16</v>
      </c>
      <c r="E499" s="1" t="s">
        <v>17</v>
      </c>
      <c r="F499" s="1" t="s">
        <v>18</v>
      </c>
      <c r="G499" s="1" t="s">
        <v>74</v>
      </c>
      <c r="H499" s="1" t="s">
        <v>66</v>
      </c>
      <c r="I499" s="1" t="s">
        <v>80</v>
      </c>
      <c r="J499" s="1" t="s">
        <v>81</v>
      </c>
      <c r="K499" s="1" t="s">
        <v>35</v>
      </c>
      <c r="L499" s="1" t="s">
        <v>46</v>
      </c>
      <c r="M499" s="1" t="s">
        <v>36</v>
      </c>
    </row>
    <row r="500" spans="1:13" x14ac:dyDescent="0.3">
      <c r="A500" s="1" t="s">
        <v>867</v>
      </c>
      <c r="B500" s="1" t="s">
        <v>392</v>
      </c>
      <c r="C500" s="1" t="s">
        <v>39</v>
      </c>
      <c r="D500" s="1" t="s">
        <v>50</v>
      </c>
      <c r="E500" s="1" t="s">
        <v>89</v>
      </c>
      <c r="F500" s="1" t="s">
        <v>90</v>
      </c>
      <c r="G500" s="1" t="s">
        <v>74</v>
      </c>
      <c r="H500" s="1" t="s">
        <v>91</v>
      </c>
      <c r="I500" s="1" t="s">
        <v>92</v>
      </c>
      <c r="J500" s="1" t="s">
        <v>93</v>
      </c>
      <c r="K500" s="1" t="s">
        <v>60</v>
      </c>
      <c r="L500" s="1" t="s">
        <v>23</v>
      </c>
      <c r="M500" s="1" t="s">
        <v>36</v>
      </c>
    </row>
    <row r="501" spans="1:13" x14ac:dyDescent="0.3">
      <c r="A501" s="1" t="s">
        <v>868</v>
      </c>
      <c r="B501" s="1" t="s">
        <v>409</v>
      </c>
      <c r="C501" s="1" t="s">
        <v>308</v>
      </c>
      <c r="D501" s="1" t="s">
        <v>28</v>
      </c>
      <c r="E501" s="1" t="s">
        <v>64</v>
      </c>
      <c r="F501" s="1" t="s">
        <v>65</v>
      </c>
      <c r="G501" s="1" t="s">
        <v>42</v>
      </c>
      <c r="H501" s="1" t="s">
        <v>91</v>
      </c>
      <c r="I501" s="1" t="s">
        <v>67</v>
      </c>
      <c r="J501" s="1" t="s">
        <v>68</v>
      </c>
      <c r="K501" s="1" t="s">
        <v>114</v>
      </c>
      <c r="L501" s="1" t="s">
        <v>23</v>
      </c>
      <c r="M501" s="1" t="s">
        <v>36</v>
      </c>
    </row>
    <row r="502" spans="1:13" x14ac:dyDescent="0.3">
      <c r="A502" s="1" t="s">
        <v>869</v>
      </c>
      <c r="B502" s="1" t="s">
        <v>825</v>
      </c>
      <c r="C502" s="1" t="s">
        <v>166</v>
      </c>
      <c r="D502" s="1" t="s">
        <v>50</v>
      </c>
      <c r="E502" s="1" t="s">
        <v>64</v>
      </c>
      <c r="F502" s="1" t="s">
        <v>65</v>
      </c>
      <c r="G502" s="1" t="s">
        <v>42</v>
      </c>
      <c r="H502" s="1" t="s">
        <v>66</v>
      </c>
      <c r="I502" s="1" t="s">
        <v>67</v>
      </c>
      <c r="J502" s="1" t="s">
        <v>68</v>
      </c>
      <c r="K502" s="1" t="s">
        <v>20</v>
      </c>
      <c r="L502" s="1" t="s">
        <v>46</v>
      </c>
      <c r="M502" s="1" t="s">
        <v>36</v>
      </c>
    </row>
    <row r="503" spans="1:13" x14ac:dyDescent="0.3">
      <c r="A503" s="1" t="s">
        <v>870</v>
      </c>
      <c r="B503" s="1" t="s">
        <v>534</v>
      </c>
      <c r="C503" s="1" t="s">
        <v>175</v>
      </c>
      <c r="D503" s="1" t="s">
        <v>59</v>
      </c>
      <c r="E503" s="1" t="s">
        <v>89</v>
      </c>
      <c r="F503" s="1" t="s">
        <v>90</v>
      </c>
      <c r="G503" s="1" t="s">
        <v>74</v>
      </c>
      <c r="H503" s="1" t="s">
        <v>32</v>
      </c>
      <c r="I503" s="1" t="s">
        <v>92</v>
      </c>
      <c r="J503" s="1" t="s">
        <v>93</v>
      </c>
      <c r="K503" s="1" t="s">
        <v>114</v>
      </c>
      <c r="L503" s="1" t="s">
        <v>46</v>
      </c>
      <c r="M503" s="1" t="s">
        <v>36</v>
      </c>
    </row>
    <row r="504" spans="1:13" x14ac:dyDescent="0.3">
      <c r="A504" s="1" t="s">
        <v>871</v>
      </c>
      <c r="B504" s="1" t="s">
        <v>245</v>
      </c>
      <c r="C504" s="1" t="s">
        <v>513</v>
      </c>
      <c r="D504" s="1" t="s">
        <v>59</v>
      </c>
      <c r="E504" s="1" t="s">
        <v>17</v>
      </c>
      <c r="F504" s="1" t="s">
        <v>18</v>
      </c>
      <c r="G504" s="1" t="s">
        <v>74</v>
      </c>
      <c r="H504" s="1" t="s">
        <v>85</v>
      </c>
      <c r="I504" s="1" t="s">
        <v>80</v>
      </c>
      <c r="J504" s="1" t="s">
        <v>81</v>
      </c>
      <c r="K504" s="1" t="s">
        <v>60</v>
      </c>
      <c r="L504" s="1" t="s">
        <v>23</v>
      </c>
      <c r="M504" s="1" t="s">
        <v>36</v>
      </c>
    </row>
    <row r="505" spans="1:13" x14ac:dyDescent="0.3">
      <c r="A505" s="1" t="s">
        <v>872</v>
      </c>
      <c r="B505" s="1" t="s">
        <v>218</v>
      </c>
      <c r="C505" s="1" t="s">
        <v>356</v>
      </c>
      <c r="D505" s="1" t="s">
        <v>59</v>
      </c>
      <c r="E505" s="1" t="s">
        <v>106</v>
      </c>
      <c r="F505" s="1" t="s">
        <v>107</v>
      </c>
      <c r="G505" s="1" t="s">
        <v>31</v>
      </c>
      <c r="H505" s="1" t="s">
        <v>149</v>
      </c>
      <c r="I505" s="1" t="s">
        <v>34</v>
      </c>
      <c r="J505" s="1" t="s">
        <v>108</v>
      </c>
      <c r="K505" s="1" t="s">
        <v>114</v>
      </c>
      <c r="L505" s="1" t="s">
        <v>46</v>
      </c>
      <c r="M505" s="1" t="s">
        <v>36</v>
      </c>
    </row>
    <row r="506" spans="1:13" x14ac:dyDescent="0.3">
      <c r="A506" s="1" t="s">
        <v>873</v>
      </c>
      <c r="B506" s="1" t="s">
        <v>144</v>
      </c>
      <c r="C506" s="1" t="s">
        <v>39</v>
      </c>
      <c r="D506" s="1" t="s">
        <v>124</v>
      </c>
      <c r="E506" s="1" t="s">
        <v>51</v>
      </c>
      <c r="F506" s="1" t="s">
        <v>52</v>
      </c>
      <c r="G506" s="1" t="s">
        <v>42</v>
      </c>
      <c r="H506" s="1" t="s">
        <v>127</v>
      </c>
      <c r="I506" s="1" t="s">
        <v>54</v>
      </c>
      <c r="J506" s="1" t="s">
        <v>55</v>
      </c>
      <c r="K506" s="1" t="s">
        <v>35</v>
      </c>
      <c r="L506" s="1" t="s">
        <v>23</v>
      </c>
      <c r="M506" s="1" t="s">
        <v>36</v>
      </c>
    </row>
    <row r="507" spans="1:13" x14ac:dyDescent="0.3">
      <c r="A507" s="1" t="s">
        <v>874</v>
      </c>
      <c r="B507" s="1" t="s">
        <v>395</v>
      </c>
      <c r="C507" s="1" t="s">
        <v>410</v>
      </c>
      <c r="D507" s="1" t="s">
        <v>59</v>
      </c>
      <c r="E507" s="1" t="s">
        <v>29</v>
      </c>
      <c r="F507" s="1" t="s">
        <v>30</v>
      </c>
      <c r="G507" s="1" t="s">
        <v>31</v>
      </c>
      <c r="H507" s="1" t="s">
        <v>91</v>
      </c>
      <c r="I507" s="1" t="s">
        <v>33</v>
      </c>
      <c r="J507" s="1" t="s">
        <v>34</v>
      </c>
      <c r="K507" s="1" t="s">
        <v>114</v>
      </c>
      <c r="L507" s="1" t="s">
        <v>46</v>
      </c>
      <c r="M507" s="1" t="s">
        <v>172</v>
      </c>
    </row>
    <row r="508" spans="1:13" x14ac:dyDescent="0.3">
      <c r="A508" s="1" t="s">
        <v>875</v>
      </c>
      <c r="B508" s="1" t="s">
        <v>355</v>
      </c>
      <c r="C508" s="1" t="s">
        <v>222</v>
      </c>
      <c r="D508" s="1" t="s">
        <v>28</v>
      </c>
      <c r="E508" s="1" t="s">
        <v>72</v>
      </c>
      <c r="F508" s="1" t="s">
        <v>73</v>
      </c>
      <c r="G508" s="1" t="s">
        <v>74</v>
      </c>
      <c r="H508" s="1" t="s">
        <v>127</v>
      </c>
      <c r="I508" s="1" t="s">
        <v>75</v>
      </c>
      <c r="J508" s="1" t="s">
        <v>76</v>
      </c>
      <c r="K508" s="1" t="s">
        <v>114</v>
      </c>
      <c r="L508" s="1" t="s">
        <v>46</v>
      </c>
      <c r="M508" s="1" t="s">
        <v>36</v>
      </c>
    </row>
    <row r="509" spans="1:13" x14ac:dyDescent="0.3">
      <c r="A509" s="1" t="s">
        <v>876</v>
      </c>
      <c r="B509" s="1" t="s">
        <v>392</v>
      </c>
      <c r="C509" s="1" t="s">
        <v>155</v>
      </c>
      <c r="D509" s="1" t="s">
        <v>59</v>
      </c>
      <c r="E509" s="1" t="s">
        <v>51</v>
      </c>
      <c r="F509" s="1" t="s">
        <v>52</v>
      </c>
      <c r="G509" s="1" t="s">
        <v>42</v>
      </c>
      <c r="H509" s="1" t="s">
        <v>91</v>
      </c>
      <c r="I509" s="1" t="s">
        <v>54</v>
      </c>
      <c r="J509" s="1" t="s">
        <v>55</v>
      </c>
      <c r="K509" s="1" t="s">
        <v>35</v>
      </c>
      <c r="L509" s="1" t="s">
        <v>46</v>
      </c>
      <c r="M509" s="1" t="s">
        <v>36</v>
      </c>
    </row>
    <row r="510" spans="1:13" x14ac:dyDescent="0.3">
      <c r="A510" s="1" t="s">
        <v>877</v>
      </c>
      <c r="B510" s="1" t="s">
        <v>340</v>
      </c>
      <c r="C510" s="1" t="s">
        <v>205</v>
      </c>
      <c r="D510" s="1" t="s">
        <v>50</v>
      </c>
      <c r="E510" s="1" t="s">
        <v>89</v>
      </c>
      <c r="F510" s="1" t="s">
        <v>90</v>
      </c>
      <c r="G510" s="1" t="s">
        <v>74</v>
      </c>
      <c r="H510" s="1" t="s">
        <v>66</v>
      </c>
      <c r="I510" s="1" t="s">
        <v>92</v>
      </c>
      <c r="J510" s="1" t="s">
        <v>93</v>
      </c>
      <c r="K510" s="1" t="s">
        <v>35</v>
      </c>
      <c r="L510" s="1" t="s">
        <v>23</v>
      </c>
      <c r="M510" s="1" t="s">
        <v>36</v>
      </c>
    </row>
    <row r="511" spans="1:13" x14ac:dyDescent="0.3">
      <c r="A511" s="1" t="s">
        <v>878</v>
      </c>
      <c r="B511" s="1" t="s">
        <v>245</v>
      </c>
      <c r="C511" s="1" t="s">
        <v>345</v>
      </c>
      <c r="D511" s="1" t="s">
        <v>50</v>
      </c>
      <c r="E511" s="1" t="s">
        <v>29</v>
      </c>
      <c r="F511" s="1" t="s">
        <v>30</v>
      </c>
      <c r="G511" s="1" t="s">
        <v>31</v>
      </c>
      <c r="H511" s="1" t="s">
        <v>91</v>
      </c>
      <c r="I511" s="1" t="s">
        <v>33</v>
      </c>
      <c r="J511" s="1" t="s">
        <v>34</v>
      </c>
      <c r="K511" s="1" t="s">
        <v>35</v>
      </c>
      <c r="L511" s="1" t="s">
        <v>23</v>
      </c>
      <c r="M511" s="1" t="s">
        <v>36</v>
      </c>
    </row>
    <row r="512" spans="1:13" x14ac:dyDescent="0.3">
      <c r="A512" s="1" t="s">
        <v>879</v>
      </c>
      <c r="B512" s="1" t="s">
        <v>667</v>
      </c>
      <c r="C512" s="1" t="s">
        <v>475</v>
      </c>
      <c r="D512" s="1" t="s">
        <v>59</v>
      </c>
      <c r="E512" s="1" t="s">
        <v>29</v>
      </c>
      <c r="F512" s="1" t="s">
        <v>30</v>
      </c>
      <c r="G512" s="1" t="s">
        <v>31</v>
      </c>
      <c r="H512" s="1" t="s">
        <v>127</v>
      </c>
      <c r="I512" s="1" t="s">
        <v>33</v>
      </c>
      <c r="J512" s="1" t="s">
        <v>34</v>
      </c>
      <c r="K512" s="1" t="s">
        <v>35</v>
      </c>
      <c r="L512" s="1" t="s">
        <v>46</v>
      </c>
      <c r="M512" s="1" t="s">
        <v>36</v>
      </c>
    </row>
    <row r="513" spans="1:13" x14ac:dyDescent="0.3">
      <c r="A513" s="1" t="s">
        <v>880</v>
      </c>
      <c r="B513" s="1" t="s">
        <v>739</v>
      </c>
      <c r="C513" s="1" t="s">
        <v>140</v>
      </c>
      <c r="D513" s="1" t="s">
        <v>28</v>
      </c>
      <c r="E513" s="1" t="s">
        <v>64</v>
      </c>
      <c r="F513" s="1" t="s">
        <v>65</v>
      </c>
      <c r="G513" s="1" t="s">
        <v>42</v>
      </c>
      <c r="H513" s="1" t="s">
        <v>43</v>
      </c>
      <c r="I513" s="1" t="s">
        <v>67</v>
      </c>
      <c r="J513" s="1" t="s">
        <v>68</v>
      </c>
      <c r="K513" s="1" t="s">
        <v>60</v>
      </c>
      <c r="L513" s="1" t="s">
        <v>46</v>
      </c>
      <c r="M513" s="1" t="s">
        <v>36</v>
      </c>
    </row>
    <row r="514" spans="1:13" x14ac:dyDescent="0.3">
      <c r="A514" s="1" t="s">
        <v>881</v>
      </c>
      <c r="B514" s="1" t="s">
        <v>788</v>
      </c>
      <c r="C514" s="1" t="s">
        <v>182</v>
      </c>
      <c r="D514" s="1" t="s">
        <v>28</v>
      </c>
      <c r="E514" s="1" t="s">
        <v>64</v>
      </c>
      <c r="F514" s="1" t="s">
        <v>65</v>
      </c>
      <c r="G514" s="1" t="s">
        <v>42</v>
      </c>
      <c r="H514" s="1" t="s">
        <v>149</v>
      </c>
      <c r="I514" s="1" t="s">
        <v>67</v>
      </c>
      <c r="J514" s="1" t="s">
        <v>68</v>
      </c>
      <c r="K514" s="1" t="s">
        <v>35</v>
      </c>
      <c r="L514" s="1" t="s">
        <v>23</v>
      </c>
      <c r="M514" s="1" t="s">
        <v>36</v>
      </c>
    </row>
    <row r="515" spans="1:13" x14ac:dyDescent="0.3">
      <c r="A515" s="1" t="s">
        <v>882</v>
      </c>
      <c r="B515" s="1" t="s">
        <v>366</v>
      </c>
      <c r="C515" s="1" t="s">
        <v>216</v>
      </c>
      <c r="D515" s="1" t="s">
        <v>28</v>
      </c>
      <c r="E515" s="1" t="s">
        <v>64</v>
      </c>
      <c r="F515" s="1" t="s">
        <v>65</v>
      </c>
      <c r="G515" s="1" t="s">
        <v>42</v>
      </c>
      <c r="H515" s="1" t="s">
        <v>32</v>
      </c>
      <c r="I515" s="1" t="s">
        <v>67</v>
      </c>
      <c r="J515" s="1" t="s">
        <v>68</v>
      </c>
      <c r="K515" s="1" t="s">
        <v>35</v>
      </c>
      <c r="L515" s="1" t="s">
        <v>23</v>
      </c>
      <c r="M515" s="1" t="s">
        <v>36</v>
      </c>
    </row>
    <row r="516" spans="1:13" x14ac:dyDescent="0.3">
      <c r="A516" s="1" t="s">
        <v>883</v>
      </c>
      <c r="B516" s="1" t="s">
        <v>218</v>
      </c>
      <c r="C516" s="1" t="s">
        <v>382</v>
      </c>
      <c r="D516" s="1" t="s">
        <v>124</v>
      </c>
      <c r="E516" s="1" t="s">
        <v>17</v>
      </c>
      <c r="F516" s="1" t="s">
        <v>18</v>
      </c>
      <c r="G516" s="1" t="s">
        <v>74</v>
      </c>
      <c r="H516" s="1" t="s">
        <v>149</v>
      </c>
      <c r="I516" s="1" t="s">
        <v>80</v>
      </c>
      <c r="J516" s="1" t="s">
        <v>81</v>
      </c>
      <c r="K516" s="1" t="s">
        <v>20</v>
      </c>
      <c r="L516" s="1" t="s">
        <v>23</v>
      </c>
      <c r="M516" s="1" t="s">
        <v>36</v>
      </c>
    </row>
    <row r="517" spans="1:13" x14ac:dyDescent="0.3">
      <c r="A517" s="1" t="s">
        <v>884</v>
      </c>
      <c r="B517" s="1" t="s">
        <v>116</v>
      </c>
      <c r="C517" s="1" t="s">
        <v>205</v>
      </c>
      <c r="D517" s="1" t="s">
        <v>124</v>
      </c>
      <c r="E517" s="1" t="s">
        <v>106</v>
      </c>
      <c r="F517" s="1" t="s">
        <v>107</v>
      </c>
      <c r="G517" s="1" t="s">
        <v>31</v>
      </c>
      <c r="H517" s="1" t="s">
        <v>149</v>
      </c>
      <c r="I517" s="1" t="s">
        <v>34</v>
      </c>
      <c r="J517" s="1" t="s">
        <v>108</v>
      </c>
      <c r="K517" s="1" t="s">
        <v>20</v>
      </c>
      <c r="L517" s="1" t="s">
        <v>23</v>
      </c>
      <c r="M517" s="1" t="s">
        <v>36</v>
      </c>
    </row>
    <row r="518" spans="1:13" x14ac:dyDescent="0.3">
      <c r="A518" s="1" t="s">
        <v>885</v>
      </c>
      <c r="B518" s="1" t="s">
        <v>886</v>
      </c>
      <c r="C518" s="1" t="s">
        <v>462</v>
      </c>
      <c r="D518" s="1" t="s">
        <v>50</v>
      </c>
      <c r="E518" s="1" t="s">
        <v>17</v>
      </c>
      <c r="F518" s="1" t="s">
        <v>18</v>
      </c>
      <c r="G518" s="1" t="s">
        <v>74</v>
      </c>
      <c r="H518" s="1" t="s">
        <v>127</v>
      </c>
      <c r="I518" s="1" t="s">
        <v>80</v>
      </c>
      <c r="J518" s="1" t="s">
        <v>81</v>
      </c>
      <c r="K518" s="1" t="s">
        <v>35</v>
      </c>
      <c r="L518" s="1" t="s">
        <v>23</v>
      </c>
      <c r="M518" s="1" t="s">
        <v>36</v>
      </c>
    </row>
    <row r="519" spans="1:13" x14ac:dyDescent="0.3">
      <c r="A519" s="1" t="s">
        <v>887</v>
      </c>
      <c r="B519" s="1" t="s">
        <v>136</v>
      </c>
      <c r="C519" s="1" t="s">
        <v>271</v>
      </c>
      <c r="D519" s="1" t="s">
        <v>28</v>
      </c>
      <c r="E519" s="1" t="s">
        <v>17</v>
      </c>
      <c r="F519" s="1" t="s">
        <v>18</v>
      </c>
      <c r="G519" s="1" t="s">
        <v>74</v>
      </c>
      <c r="H519" s="1" t="s">
        <v>53</v>
      </c>
      <c r="I519" s="1" t="s">
        <v>80</v>
      </c>
      <c r="J519" s="1" t="s">
        <v>81</v>
      </c>
      <c r="K519" s="1" t="s">
        <v>206</v>
      </c>
      <c r="L519" s="1" t="s">
        <v>23</v>
      </c>
      <c r="M519" s="1" t="s">
        <v>36</v>
      </c>
    </row>
    <row r="520" spans="1:13" x14ac:dyDescent="0.3">
      <c r="A520" s="1" t="s">
        <v>888</v>
      </c>
      <c r="B520" s="1" t="s">
        <v>889</v>
      </c>
      <c r="C520" s="1" t="s">
        <v>96</v>
      </c>
      <c r="D520" s="1" t="s">
        <v>124</v>
      </c>
      <c r="E520" s="1" t="s">
        <v>89</v>
      </c>
      <c r="F520" s="1" t="s">
        <v>90</v>
      </c>
      <c r="G520" s="1" t="s">
        <v>74</v>
      </c>
      <c r="H520" s="1" t="s">
        <v>91</v>
      </c>
      <c r="I520" s="1" t="s">
        <v>92</v>
      </c>
      <c r="J520" s="1" t="s">
        <v>93</v>
      </c>
      <c r="K520" s="1" t="s">
        <v>114</v>
      </c>
      <c r="L520" s="1" t="s">
        <v>23</v>
      </c>
      <c r="M520" s="1" t="s">
        <v>36</v>
      </c>
    </row>
    <row r="521" spans="1:13" x14ac:dyDescent="0.3">
      <c r="A521" s="1" t="s">
        <v>890</v>
      </c>
      <c r="B521" s="1" t="s">
        <v>891</v>
      </c>
      <c r="C521" s="1" t="s">
        <v>624</v>
      </c>
      <c r="D521" s="1" t="s">
        <v>124</v>
      </c>
      <c r="E521" s="1" t="s">
        <v>29</v>
      </c>
      <c r="F521" s="1" t="s">
        <v>30</v>
      </c>
      <c r="G521" s="1" t="s">
        <v>31</v>
      </c>
      <c r="H521" s="1" t="s">
        <v>32</v>
      </c>
      <c r="I521" s="1" t="s">
        <v>33</v>
      </c>
      <c r="J521" s="1" t="s">
        <v>34</v>
      </c>
      <c r="K521" s="1" t="s">
        <v>20</v>
      </c>
      <c r="L521" s="1" t="s">
        <v>46</v>
      </c>
      <c r="M521" s="1" t="s">
        <v>36</v>
      </c>
    </row>
    <row r="522" spans="1:13" x14ac:dyDescent="0.3">
      <c r="A522" s="1" t="s">
        <v>892</v>
      </c>
      <c r="B522" s="1" t="s">
        <v>405</v>
      </c>
      <c r="C522" s="1" t="s">
        <v>302</v>
      </c>
      <c r="D522" s="1" t="s">
        <v>50</v>
      </c>
      <c r="E522" s="1" t="s">
        <v>29</v>
      </c>
      <c r="F522" s="1" t="s">
        <v>30</v>
      </c>
      <c r="G522" s="1" t="s">
        <v>31</v>
      </c>
      <c r="H522" s="1" t="s">
        <v>43</v>
      </c>
      <c r="I522" s="1" t="s">
        <v>33</v>
      </c>
      <c r="J522" s="1" t="s">
        <v>34</v>
      </c>
      <c r="K522" s="1" t="s">
        <v>60</v>
      </c>
      <c r="L522" s="1" t="s">
        <v>23</v>
      </c>
      <c r="M522" s="1" t="s">
        <v>36</v>
      </c>
    </row>
    <row r="523" spans="1:13" x14ac:dyDescent="0.3">
      <c r="A523" s="1" t="s">
        <v>893</v>
      </c>
      <c r="B523" s="1" t="s">
        <v>433</v>
      </c>
      <c r="C523" s="1" t="s">
        <v>579</v>
      </c>
      <c r="D523" s="1" t="s">
        <v>124</v>
      </c>
      <c r="E523" s="1" t="s">
        <v>17</v>
      </c>
      <c r="F523" s="1" t="s">
        <v>18</v>
      </c>
      <c r="G523" s="1" t="s">
        <v>74</v>
      </c>
      <c r="H523" s="1" t="s">
        <v>127</v>
      </c>
      <c r="I523" s="1" t="s">
        <v>80</v>
      </c>
      <c r="J523" s="1" t="s">
        <v>81</v>
      </c>
      <c r="K523" s="1" t="s">
        <v>114</v>
      </c>
      <c r="L523" s="1" t="s">
        <v>23</v>
      </c>
      <c r="M523" s="1" t="s">
        <v>36</v>
      </c>
    </row>
    <row r="524" spans="1:13" x14ac:dyDescent="0.3">
      <c r="A524" s="1" t="s">
        <v>894</v>
      </c>
      <c r="B524" s="1" t="s">
        <v>409</v>
      </c>
      <c r="C524" s="1" t="s">
        <v>79</v>
      </c>
      <c r="D524" s="1" t="s">
        <v>406</v>
      </c>
      <c r="E524" s="1" t="s">
        <v>72</v>
      </c>
      <c r="F524" s="1" t="s">
        <v>73</v>
      </c>
      <c r="G524" s="1" t="s">
        <v>74</v>
      </c>
      <c r="H524" s="1" t="s">
        <v>53</v>
      </c>
      <c r="I524" s="1" t="s">
        <v>75</v>
      </c>
      <c r="J524" s="1" t="s">
        <v>76</v>
      </c>
      <c r="K524" s="1" t="s">
        <v>60</v>
      </c>
      <c r="L524" s="1" t="s">
        <v>46</v>
      </c>
      <c r="M524" s="1" t="s">
        <v>36</v>
      </c>
    </row>
    <row r="525" spans="1:13" x14ac:dyDescent="0.3">
      <c r="A525" s="1" t="s">
        <v>895</v>
      </c>
      <c r="B525" s="1" t="s">
        <v>48</v>
      </c>
      <c r="C525" s="1" t="s">
        <v>279</v>
      </c>
      <c r="D525" s="1" t="s">
        <v>59</v>
      </c>
      <c r="E525" s="1" t="s">
        <v>17</v>
      </c>
      <c r="F525" s="1" t="s">
        <v>18</v>
      </c>
      <c r="G525" s="1" t="s">
        <v>74</v>
      </c>
      <c r="H525" s="1" t="s">
        <v>149</v>
      </c>
      <c r="I525" s="1" t="s">
        <v>80</v>
      </c>
      <c r="J525" s="1" t="s">
        <v>81</v>
      </c>
      <c r="K525" s="1" t="s">
        <v>60</v>
      </c>
      <c r="L525" s="1" t="s">
        <v>23</v>
      </c>
      <c r="M525" s="1" t="s">
        <v>36</v>
      </c>
    </row>
    <row r="526" spans="1:13" x14ac:dyDescent="0.3">
      <c r="A526" s="1" t="s">
        <v>896</v>
      </c>
      <c r="B526" s="1" t="s">
        <v>95</v>
      </c>
      <c r="C526" s="1" t="s">
        <v>345</v>
      </c>
      <c r="D526" s="1" t="s">
        <v>50</v>
      </c>
      <c r="E526" s="1" t="s">
        <v>72</v>
      </c>
      <c r="F526" s="1" t="s">
        <v>73</v>
      </c>
      <c r="G526" s="1" t="s">
        <v>74</v>
      </c>
      <c r="H526" s="1" t="s">
        <v>149</v>
      </c>
      <c r="I526" s="1" t="s">
        <v>75</v>
      </c>
      <c r="J526" s="1" t="s">
        <v>76</v>
      </c>
      <c r="K526" s="1" t="s">
        <v>20</v>
      </c>
      <c r="L526" s="1" t="s">
        <v>46</v>
      </c>
      <c r="M526" s="1" t="s">
        <v>36</v>
      </c>
    </row>
    <row r="527" spans="1:13" x14ac:dyDescent="0.3">
      <c r="A527" s="1" t="s">
        <v>897</v>
      </c>
      <c r="B527" s="1" t="s">
        <v>395</v>
      </c>
      <c r="C527" s="1" t="s">
        <v>148</v>
      </c>
      <c r="D527" s="1" t="s">
        <v>28</v>
      </c>
      <c r="E527" s="1" t="s">
        <v>17</v>
      </c>
      <c r="F527" s="1" t="s">
        <v>18</v>
      </c>
      <c r="G527" s="1" t="s">
        <v>74</v>
      </c>
      <c r="H527" s="1" t="s">
        <v>85</v>
      </c>
      <c r="I527" s="1" t="s">
        <v>80</v>
      </c>
      <c r="J527" s="1" t="s">
        <v>81</v>
      </c>
      <c r="K527" s="1" t="s">
        <v>35</v>
      </c>
      <c r="L527" s="1" t="s">
        <v>23</v>
      </c>
      <c r="M527" s="1" t="s">
        <v>36</v>
      </c>
    </row>
    <row r="528" spans="1:13" x14ac:dyDescent="0.3">
      <c r="A528" s="1" t="s">
        <v>898</v>
      </c>
      <c r="B528" s="1" t="s">
        <v>508</v>
      </c>
      <c r="C528" s="1" t="s">
        <v>137</v>
      </c>
      <c r="D528" s="1" t="s">
        <v>124</v>
      </c>
      <c r="E528" s="1" t="s">
        <v>106</v>
      </c>
      <c r="F528" s="1" t="s">
        <v>107</v>
      </c>
      <c r="G528" s="1" t="s">
        <v>31</v>
      </c>
      <c r="H528" s="1" t="s">
        <v>66</v>
      </c>
      <c r="I528" s="1" t="s">
        <v>34</v>
      </c>
      <c r="J528" s="1" t="s">
        <v>108</v>
      </c>
      <c r="K528" s="1" t="s">
        <v>60</v>
      </c>
      <c r="L528" s="1" t="s">
        <v>23</v>
      </c>
      <c r="M528" s="1" t="s">
        <v>36</v>
      </c>
    </row>
    <row r="529" spans="1:13" x14ac:dyDescent="0.3">
      <c r="A529" s="1" t="s">
        <v>899</v>
      </c>
      <c r="B529" s="1" t="s">
        <v>196</v>
      </c>
      <c r="C529" s="1" t="s">
        <v>536</v>
      </c>
      <c r="D529" s="1" t="s">
        <v>28</v>
      </c>
      <c r="E529" s="1" t="s">
        <v>29</v>
      </c>
      <c r="F529" s="1" t="s">
        <v>30</v>
      </c>
      <c r="G529" s="1" t="s">
        <v>31</v>
      </c>
      <c r="H529" s="1" t="s">
        <v>43</v>
      </c>
      <c r="I529" s="1" t="s">
        <v>33</v>
      </c>
      <c r="J529" s="1" t="s">
        <v>34</v>
      </c>
      <c r="K529" s="1" t="s">
        <v>60</v>
      </c>
      <c r="L529" s="1" t="s">
        <v>46</v>
      </c>
      <c r="M529" s="1" t="s">
        <v>36</v>
      </c>
    </row>
    <row r="530" spans="1:13" x14ac:dyDescent="0.3">
      <c r="A530" s="1" t="s">
        <v>900</v>
      </c>
      <c r="B530" s="1" t="s">
        <v>607</v>
      </c>
      <c r="C530" s="1" t="s">
        <v>132</v>
      </c>
      <c r="D530" s="1" t="s">
        <v>124</v>
      </c>
      <c r="E530" s="1" t="s">
        <v>40</v>
      </c>
      <c r="F530" s="1" t="s">
        <v>41</v>
      </c>
      <c r="G530" s="1" t="s">
        <v>42</v>
      </c>
      <c r="H530" s="1" t="s">
        <v>149</v>
      </c>
      <c r="I530" s="1" t="s">
        <v>44</v>
      </c>
      <c r="J530" s="1" t="s">
        <v>45</v>
      </c>
      <c r="K530" s="1" t="s">
        <v>114</v>
      </c>
      <c r="L530" s="1" t="s">
        <v>23</v>
      </c>
      <c r="M530" s="1" t="s">
        <v>36</v>
      </c>
    </row>
    <row r="531" spans="1:13" x14ac:dyDescent="0.3">
      <c r="A531" s="1" t="s">
        <v>901</v>
      </c>
      <c r="B531" s="1" t="s">
        <v>902</v>
      </c>
      <c r="C531" s="1" t="s">
        <v>425</v>
      </c>
      <c r="D531" s="1" t="s">
        <v>28</v>
      </c>
      <c r="E531" s="1" t="s">
        <v>29</v>
      </c>
      <c r="F531" s="1" t="s">
        <v>30</v>
      </c>
      <c r="G531" s="1" t="s">
        <v>31</v>
      </c>
      <c r="H531" s="1" t="s">
        <v>66</v>
      </c>
      <c r="I531" s="1" t="s">
        <v>33</v>
      </c>
      <c r="J531" s="1" t="s">
        <v>34</v>
      </c>
      <c r="K531" s="1" t="s">
        <v>60</v>
      </c>
      <c r="L531" s="1" t="s">
        <v>23</v>
      </c>
      <c r="M531" s="1" t="s">
        <v>36</v>
      </c>
    </row>
    <row r="532" spans="1:13" x14ac:dyDescent="0.3">
      <c r="A532" s="1" t="s">
        <v>903</v>
      </c>
      <c r="B532" s="1" t="s">
        <v>486</v>
      </c>
      <c r="C532" s="1" t="s">
        <v>416</v>
      </c>
      <c r="D532" s="1" t="s">
        <v>59</v>
      </c>
      <c r="E532" s="1" t="s">
        <v>89</v>
      </c>
      <c r="F532" s="1" t="s">
        <v>90</v>
      </c>
      <c r="G532" s="1" t="s">
        <v>74</v>
      </c>
      <c r="H532" s="1" t="s">
        <v>43</v>
      </c>
      <c r="I532" s="1" t="s">
        <v>219</v>
      </c>
      <c r="J532" s="1" t="s">
        <v>93</v>
      </c>
      <c r="K532" s="1" t="s">
        <v>20</v>
      </c>
      <c r="L532" s="1" t="s">
        <v>46</v>
      </c>
      <c r="M532" s="1" t="s">
        <v>36</v>
      </c>
    </row>
    <row r="533" spans="1:13" x14ac:dyDescent="0.3">
      <c r="A533" s="1" t="s">
        <v>904</v>
      </c>
      <c r="B533" s="1" t="s">
        <v>237</v>
      </c>
      <c r="C533" s="1" t="s">
        <v>185</v>
      </c>
      <c r="D533" s="1" t="s">
        <v>124</v>
      </c>
      <c r="E533" s="1" t="s">
        <v>29</v>
      </c>
      <c r="F533" s="1" t="s">
        <v>30</v>
      </c>
      <c r="G533" s="1" t="s">
        <v>31</v>
      </c>
      <c r="H533" s="1" t="s">
        <v>32</v>
      </c>
      <c r="I533" s="1" t="s">
        <v>33</v>
      </c>
      <c r="J533" s="1" t="s">
        <v>34</v>
      </c>
      <c r="K533" s="1" t="s">
        <v>114</v>
      </c>
      <c r="L533" s="1" t="s">
        <v>46</v>
      </c>
      <c r="M533" s="1" t="s">
        <v>36</v>
      </c>
    </row>
    <row r="534" spans="1:13" x14ac:dyDescent="0.3">
      <c r="A534" s="1" t="s">
        <v>905</v>
      </c>
      <c r="B534" s="1" t="s">
        <v>281</v>
      </c>
      <c r="C534" s="1" t="s">
        <v>15</v>
      </c>
      <c r="D534" s="1" t="s">
        <v>28</v>
      </c>
      <c r="E534" s="1" t="s">
        <v>106</v>
      </c>
      <c r="F534" s="1" t="s">
        <v>107</v>
      </c>
      <c r="G534" s="1" t="s">
        <v>31</v>
      </c>
      <c r="H534" s="1" t="s">
        <v>43</v>
      </c>
      <c r="I534" s="1" t="s">
        <v>34</v>
      </c>
      <c r="J534" s="1" t="s">
        <v>108</v>
      </c>
      <c r="K534" s="1" t="s">
        <v>114</v>
      </c>
      <c r="L534" s="1" t="s">
        <v>23</v>
      </c>
      <c r="M534" s="1" t="s">
        <v>36</v>
      </c>
    </row>
    <row r="535" spans="1:13" x14ac:dyDescent="0.3">
      <c r="A535" s="1" t="s">
        <v>906</v>
      </c>
      <c r="B535" s="1" t="s">
        <v>179</v>
      </c>
      <c r="C535" s="1" t="s">
        <v>148</v>
      </c>
      <c r="D535" s="1" t="s">
        <v>28</v>
      </c>
      <c r="E535" s="1" t="s">
        <v>51</v>
      </c>
      <c r="F535" s="1" t="s">
        <v>52</v>
      </c>
      <c r="G535" s="1" t="s">
        <v>188</v>
      </c>
      <c r="H535" s="1" t="s">
        <v>91</v>
      </c>
      <c r="I535" s="1" t="s">
        <v>54</v>
      </c>
      <c r="J535" s="1" t="s">
        <v>55</v>
      </c>
      <c r="K535" s="1" t="s">
        <v>35</v>
      </c>
      <c r="L535" s="1" t="s">
        <v>23</v>
      </c>
      <c r="M535" s="1" t="s">
        <v>36</v>
      </c>
    </row>
    <row r="536" spans="1:13" x14ac:dyDescent="0.3">
      <c r="A536" s="1" t="s">
        <v>907</v>
      </c>
      <c r="B536" s="1" t="s">
        <v>265</v>
      </c>
      <c r="C536" s="1" t="s">
        <v>105</v>
      </c>
      <c r="D536" s="1" t="s">
        <v>50</v>
      </c>
      <c r="E536" s="1" t="s">
        <v>64</v>
      </c>
      <c r="F536" s="1" t="s">
        <v>65</v>
      </c>
      <c r="G536" s="1" t="s">
        <v>42</v>
      </c>
      <c r="H536" s="1" t="s">
        <v>85</v>
      </c>
      <c r="I536" s="1" t="s">
        <v>67</v>
      </c>
      <c r="J536" s="1" t="s">
        <v>16</v>
      </c>
      <c r="K536" s="1" t="s">
        <v>114</v>
      </c>
      <c r="L536" s="1" t="s">
        <v>46</v>
      </c>
      <c r="M536" s="1" t="s">
        <v>36</v>
      </c>
    </row>
    <row r="537" spans="1:13" x14ac:dyDescent="0.3">
      <c r="A537" s="1" t="s">
        <v>908</v>
      </c>
      <c r="B537" s="1" t="s">
        <v>129</v>
      </c>
      <c r="C537" s="1" t="s">
        <v>536</v>
      </c>
      <c r="D537" s="1" t="s">
        <v>124</v>
      </c>
      <c r="E537" s="1" t="s">
        <v>29</v>
      </c>
      <c r="F537" s="1" t="s">
        <v>30</v>
      </c>
      <c r="G537" s="1" t="s">
        <v>31</v>
      </c>
      <c r="H537" s="1" t="s">
        <v>43</v>
      </c>
      <c r="I537" s="1" t="s">
        <v>33</v>
      </c>
      <c r="J537" s="1" t="s">
        <v>34</v>
      </c>
      <c r="K537" s="1" t="s">
        <v>114</v>
      </c>
      <c r="L537" s="1" t="s">
        <v>46</v>
      </c>
      <c r="M537" s="1" t="s">
        <v>36</v>
      </c>
    </row>
    <row r="538" spans="1:13" x14ac:dyDescent="0.3">
      <c r="A538" s="1" t="s">
        <v>909</v>
      </c>
      <c r="B538" s="1" t="s">
        <v>435</v>
      </c>
      <c r="C538" s="1" t="s">
        <v>743</v>
      </c>
      <c r="D538" s="1" t="s">
        <v>28</v>
      </c>
      <c r="E538" s="1" t="s">
        <v>17</v>
      </c>
      <c r="F538" s="1" t="s">
        <v>18</v>
      </c>
      <c r="G538" s="1" t="s">
        <v>74</v>
      </c>
      <c r="H538" s="1" t="s">
        <v>85</v>
      </c>
      <c r="I538" s="1" t="s">
        <v>80</v>
      </c>
      <c r="J538" s="1" t="s">
        <v>81</v>
      </c>
      <c r="K538" s="1" t="s">
        <v>114</v>
      </c>
      <c r="L538" s="1" t="s">
        <v>46</v>
      </c>
      <c r="M538" s="1" t="s">
        <v>24</v>
      </c>
    </row>
    <row r="539" spans="1:13" x14ac:dyDescent="0.3">
      <c r="A539" s="1" t="s">
        <v>910</v>
      </c>
      <c r="B539" s="1" t="s">
        <v>283</v>
      </c>
      <c r="C539" s="1" t="s">
        <v>159</v>
      </c>
      <c r="D539" s="1" t="s">
        <v>28</v>
      </c>
      <c r="E539" s="1" t="s">
        <v>40</v>
      </c>
      <c r="F539" s="1" t="s">
        <v>41</v>
      </c>
      <c r="G539" s="1" t="s">
        <v>42</v>
      </c>
      <c r="H539" s="1" t="s">
        <v>149</v>
      </c>
      <c r="I539" s="1" t="s">
        <v>44</v>
      </c>
      <c r="J539" s="1" t="s">
        <v>45</v>
      </c>
      <c r="K539" s="1" t="s">
        <v>20</v>
      </c>
      <c r="L539" s="1" t="s">
        <v>46</v>
      </c>
      <c r="M539" s="1" t="s">
        <v>36</v>
      </c>
    </row>
    <row r="540" spans="1:13" x14ac:dyDescent="0.3">
      <c r="A540" s="1" t="s">
        <v>911</v>
      </c>
      <c r="B540" s="1" t="s">
        <v>174</v>
      </c>
      <c r="C540" s="1" t="s">
        <v>308</v>
      </c>
      <c r="D540" s="1" t="s">
        <v>28</v>
      </c>
      <c r="E540" s="1" t="s">
        <v>64</v>
      </c>
      <c r="F540" s="1" t="s">
        <v>65</v>
      </c>
      <c r="G540" s="1" t="s">
        <v>42</v>
      </c>
      <c r="H540" s="1" t="s">
        <v>32</v>
      </c>
      <c r="I540" s="1" t="s">
        <v>67</v>
      </c>
      <c r="J540" s="1" t="s">
        <v>68</v>
      </c>
      <c r="K540" s="1" t="s">
        <v>20</v>
      </c>
      <c r="L540" s="1" t="s">
        <v>46</v>
      </c>
      <c r="M540" s="1" t="s">
        <v>36</v>
      </c>
    </row>
    <row r="541" spans="1:13" x14ac:dyDescent="0.3">
      <c r="A541" s="1" t="s">
        <v>912</v>
      </c>
      <c r="B541" s="1" t="s">
        <v>571</v>
      </c>
      <c r="C541" s="1" t="s">
        <v>382</v>
      </c>
      <c r="D541" s="1" t="s">
        <v>28</v>
      </c>
      <c r="E541" s="1" t="s">
        <v>89</v>
      </c>
      <c r="F541" s="1" t="s">
        <v>90</v>
      </c>
      <c r="G541" s="1" t="s">
        <v>74</v>
      </c>
      <c r="H541" s="1" t="s">
        <v>85</v>
      </c>
      <c r="I541" s="1" t="s">
        <v>92</v>
      </c>
      <c r="J541" s="1" t="s">
        <v>93</v>
      </c>
      <c r="K541" s="1" t="s">
        <v>20</v>
      </c>
      <c r="L541" s="1" t="s">
        <v>46</v>
      </c>
      <c r="M541" s="1" t="s">
        <v>36</v>
      </c>
    </row>
    <row r="542" spans="1:13" x14ac:dyDescent="0.3">
      <c r="A542" s="1" t="s">
        <v>913</v>
      </c>
      <c r="B542" s="1" t="s">
        <v>276</v>
      </c>
      <c r="C542" s="1" t="s">
        <v>191</v>
      </c>
      <c r="D542" s="1" t="s">
        <v>124</v>
      </c>
      <c r="E542" s="1" t="s">
        <v>64</v>
      </c>
      <c r="F542" s="1" t="s">
        <v>65</v>
      </c>
      <c r="G542" s="1" t="s">
        <v>42</v>
      </c>
      <c r="H542" s="1" t="s">
        <v>91</v>
      </c>
      <c r="I542" s="1" t="s">
        <v>67</v>
      </c>
      <c r="J542" s="1" t="s">
        <v>68</v>
      </c>
      <c r="K542" s="1" t="s">
        <v>114</v>
      </c>
      <c r="L542" s="1" t="s">
        <v>46</v>
      </c>
      <c r="M542" s="1" t="s">
        <v>36</v>
      </c>
    </row>
    <row r="543" spans="1:13" x14ac:dyDescent="0.3">
      <c r="A543" s="1" t="s">
        <v>914</v>
      </c>
      <c r="B543" s="1" t="s">
        <v>187</v>
      </c>
      <c r="C543" s="1" t="s">
        <v>528</v>
      </c>
      <c r="D543" s="1" t="s">
        <v>50</v>
      </c>
      <c r="E543" s="1" t="s">
        <v>64</v>
      </c>
      <c r="F543" s="1" t="s">
        <v>65</v>
      </c>
      <c r="G543" s="1" t="s">
        <v>42</v>
      </c>
      <c r="H543" s="1" t="s">
        <v>53</v>
      </c>
      <c r="I543" s="1" t="s">
        <v>67</v>
      </c>
      <c r="J543" s="1" t="s">
        <v>68</v>
      </c>
      <c r="K543" s="1" t="s">
        <v>35</v>
      </c>
      <c r="L543" s="1" t="s">
        <v>23</v>
      </c>
      <c r="M543" s="1" t="s">
        <v>36</v>
      </c>
    </row>
    <row r="544" spans="1:13" x14ac:dyDescent="0.3">
      <c r="A544" s="1" t="s">
        <v>915</v>
      </c>
      <c r="B544" s="1" t="s">
        <v>516</v>
      </c>
      <c r="C544" s="1" t="s">
        <v>159</v>
      </c>
      <c r="D544" s="1" t="s">
        <v>28</v>
      </c>
      <c r="E544" s="1" t="s">
        <v>29</v>
      </c>
      <c r="F544" s="1" t="s">
        <v>30</v>
      </c>
      <c r="G544" s="1" t="s">
        <v>31</v>
      </c>
      <c r="H544" s="1" t="s">
        <v>43</v>
      </c>
      <c r="I544" s="1" t="s">
        <v>33</v>
      </c>
      <c r="J544" s="1" t="s">
        <v>34</v>
      </c>
      <c r="K544" s="1" t="s">
        <v>60</v>
      </c>
      <c r="L544" s="1" t="s">
        <v>46</v>
      </c>
      <c r="M544" s="1" t="s">
        <v>36</v>
      </c>
    </row>
    <row r="545" spans="1:13" x14ac:dyDescent="0.3">
      <c r="A545" s="1" t="s">
        <v>916</v>
      </c>
      <c r="B545" s="1" t="s">
        <v>340</v>
      </c>
      <c r="C545" s="1" t="s">
        <v>331</v>
      </c>
      <c r="D545" s="1" t="s">
        <v>124</v>
      </c>
      <c r="E545" s="1" t="s">
        <v>40</v>
      </c>
      <c r="F545" s="1" t="s">
        <v>41</v>
      </c>
      <c r="G545" s="1" t="s">
        <v>42</v>
      </c>
      <c r="H545" s="1" t="s">
        <v>53</v>
      </c>
      <c r="I545" s="1" t="s">
        <v>44</v>
      </c>
      <c r="J545" s="1" t="s">
        <v>45</v>
      </c>
      <c r="K545" s="1" t="s">
        <v>114</v>
      </c>
      <c r="L545" s="1" t="s">
        <v>23</v>
      </c>
      <c r="M545" s="1" t="s">
        <v>36</v>
      </c>
    </row>
    <row r="546" spans="1:13" x14ac:dyDescent="0.3">
      <c r="A546" s="1" t="s">
        <v>917</v>
      </c>
      <c r="B546" s="1" t="s">
        <v>573</v>
      </c>
      <c r="C546" s="1" t="s">
        <v>152</v>
      </c>
      <c r="D546" s="1" t="s">
        <v>59</v>
      </c>
      <c r="E546" s="1" t="s">
        <v>64</v>
      </c>
      <c r="F546" s="1" t="s">
        <v>65</v>
      </c>
      <c r="G546" s="1" t="s">
        <v>42</v>
      </c>
      <c r="H546" s="1" t="s">
        <v>66</v>
      </c>
      <c r="I546" s="1" t="s">
        <v>67</v>
      </c>
      <c r="J546" s="1" t="s">
        <v>68</v>
      </c>
      <c r="K546" s="1" t="s">
        <v>20</v>
      </c>
      <c r="L546" s="1" t="s">
        <v>23</v>
      </c>
      <c r="M546" s="1" t="s">
        <v>36</v>
      </c>
    </row>
    <row r="547" spans="1:13" x14ac:dyDescent="0.3">
      <c r="A547" s="1" t="s">
        <v>918</v>
      </c>
      <c r="B547" s="1" t="s">
        <v>750</v>
      </c>
      <c r="C547" s="1" t="s">
        <v>677</v>
      </c>
      <c r="D547" s="1" t="s">
        <v>124</v>
      </c>
      <c r="E547" s="1" t="s">
        <v>17</v>
      </c>
      <c r="F547" s="1" t="s">
        <v>18</v>
      </c>
      <c r="G547" s="1" t="s">
        <v>74</v>
      </c>
      <c r="H547" s="1" t="s">
        <v>66</v>
      </c>
      <c r="I547" s="1" t="s">
        <v>80</v>
      </c>
      <c r="J547" s="1" t="s">
        <v>81</v>
      </c>
      <c r="K547" s="1" t="s">
        <v>60</v>
      </c>
      <c r="L547" s="1" t="s">
        <v>23</v>
      </c>
      <c r="M547" s="1" t="s">
        <v>36</v>
      </c>
    </row>
    <row r="548" spans="1:13" x14ac:dyDescent="0.3">
      <c r="A548" s="1" t="s">
        <v>919</v>
      </c>
      <c r="B548" s="1" t="s">
        <v>490</v>
      </c>
      <c r="C548" s="1" t="s">
        <v>478</v>
      </c>
      <c r="D548" s="1" t="s">
        <v>59</v>
      </c>
      <c r="E548" s="1" t="s">
        <v>17</v>
      </c>
      <c r="F548" s="1" t="s">
        <v>18</v>
      </c>
      <c r="G548" s="1" t="s">
        <v>74</v>
      </c>
      <c r="H548" s="1" t="s">
        <v>66</v>
      </c>
      <c r="I548" s="1" t="s">
        <v>80</v>
      </c>
      <c r="J548" s="1" t="s">
        <v>81</v>
      </c>
      <c r="K548" s="1" t="s">
        <v>60</v>
      </c>
      <c r="L548" s="1" t="s">
        <v>46</v>
      </c>
      <c r="M548" s="1" t="s">
        <v>36</v>
      </c>
    </row>
    <row r="549" spans="1:13" x14ac:dyDescent="0.3">
      <c r="A549" s="1" t="s">
        <v>920</v>
      </c>
      <c r="B549" s="1" t="s">
        <v>650</v>
      </c>
      <c r="C549" s="1" t="s">
        <v>243</v>
      </c>
      <c r="D549" s="1" t="s">
        <v>124</v>
      </c>
      <c r="E549" s="1" t="s">
        <v>64</v>
      </c>
      <c r="F549" s="1" t="s">
        <v>65</v>
      </c>
      <c r="G549" s="1" t="s">
        <v>42</v>
      </c>
      <c r="H549" s="1" t="s">
        <v>149</v>
      </c>
      <c r="I549" s="1" t="s">
        <v>67</v>
      </c>
      <c r="J549" s="1" t="s">
        <v>68</v>
      </c>
      <c r="K549" s="1" t="s">
        <v>60</v>
      </c>
      <c r="L549" s="1" t="s">
        <v>23</v>
      </c>
      <c r="M549" s="1" t="s">
        <v>36</v>
      </c>
    </row>
    <row r="550" spans="1:13" x14ac:dyDescent="0.3">
      <c r="A550" s="1" t="s">
        <v>921</v>
      </c>
      <c r="B550" s="1" t="s">
        <v>154</v>
      </c>
      <c r="C550" s="1" t="s">
        <v>478</v>
      </c>
      <c r="D550" s="1" t="s">
        <v>28</v>
      </c>
      <c r="E550" s="1" t="s">
        <v>40</v>
      </c>
      <c r="F550" s="1" t="s">
        <v>41</v>
      </c>
      <c r="G550" s="1" t="s">
        <v>42</v>
      </c>
      <c r="H550" s="1" t="s">
        <v>43</v>
      </c>
      <c r="I550" s="1" t="s">
        <v>44</v>
      </c>
      <c r="J550" s="1" t="s">
        <v>45</v>
      </c>
      <c r="K550" s="1" t="s">
        <v>35</v>
      </c>
      <c r="L550" s="1" t="s">
        <v>46</v>
      </c>
      <c r="M550" s="1" t="s">
        <v>36</v>
      </c>
    </row>
    <row r="551" spans="1:13" x14ac:dyDescent="0.3">
      <c r="A551" s="1" t="s">
        <v>922</v>
      </c>
      <c r="B551" s="1" t="s">
        <v>307</v>
      </c>
      <c r="C551" s="1" t="s">
        <v>481</v>
      </c>
      <c r="D551" s="1" t="s">
        <v>50</v>
      </c>
      <c r="E551" s="1" t="s">
        <v>29</v>
      </c>
      <c r="F551" s="1" t="s">
        <v>30</v>
      </c>
      <c r="G551" s="1" t="s">
        <v>31</v>
      </c>
      <c r="H551" s="1" t="s">
        <v>91</v>
      </c>
      <c r="I551" s="1" t="s">
        <v>33</v>
      </c>
      <c r="J551" s="1" t="s">
        <v>34</v>
      </c>
      <c r="K551" s="1" t="s">
        <v>60</v>
      </c>
      <c r="L551" s="1" t="s">
        <v>46</v>
      </c>
      <c r="M551" s="1" t="s">
        <v>36</v>
      </c>
    </row>
    <row r="552" spans="1:13" x14ac:dyDescent="0.3">
      <c r="A552" s="1" t="s">
        <v>923</v>
      </c>
      <c r="B552" s="1" t="s">
        <v>453</v>
      </c>
      <c r="C552" s="1" t="s">
        <v>481</v>
      </c>
      <c r="D552" s="1" t="s">
        <v>28</v>
      </c>
      <c r="E552" s="1" t="s">
        <v>64</v>
      </c>
      <c r="F552" s="1" t="s">
        <v>65</v>
      </c>
      <c r="G552" s="1" t="s">
        <v>42</v>
      </c>
      <c r="H552" s="1" t="s">
        <v>53</v>
      </c>
      <c r="I552" s="1" t="s">
        <v>67</v>
      </c>
      <c r="J552" s="1" t="s">
        <v>68</v>
      </c>
      <c r="K552" s="1" t="s">
        <v>114</v>
      </c>
      <c r="L552" s="1" t="s">
        <v>46</v>
      </c>
      <c r="M552" s="1" t="s">
        <v>36</v>
      </c>
    </row>
    <row r="553" spans="1:13" x14ac:dyDescent="0.3">
      <c r="A553" s="1" t="s">
        <v>924</v>
      </c>
      <c r="B553" s="1" t="s">
        <v>571</v>
      </c>
      <c r="C553" s="1" t="s">
        <v>175</v>
      </c>
      <c r="D553" s="1" t="s">
        <v>406</v>
      </c>
      <c r="E553" s="1" t="s">
        <v>51</v>
      </c>
      <c r="F553" s="1" t="s">
        <v>52</v>
      </c>
      <c r="G553" s="1" t="s">
        <v>42</v>
      </c>
      <c r="H553" s="1" t="s">
        <v>53</v>
      </c>
      <c r="I553" s="1" t="s">
        <v>54</v>
      </c>
      <c r="J553" s="1" t="s">
        <v>55</v>
      </c>
      <c r="K553" s="1" t="s">
        <v>20</v>
      </c>
      <c r="L553" s="1" t="s">
        <v>46</v>
      </c>
      <c r="M553" s="1" t="s">
        <v>36</v>
      </c>
    </row>
    <row r="554" spans="1:13" x14ac:dyDescent="0.3">
      <c r="A554" s="1" t="s">
        <v>925</v>
      </c>
      <c r="B554" s="1" t="s">
        <v>607</v>
      </c>
      <c r="C554" s="1" t="s">
        <v>396</v>
      </c>
      <c r="D554" s="1" t="s">
        <v>59</v>
      </c>
      <c r="E554" s="1" t="s">
        <v>17</v>
      </c>
      <c r="F554" s="1" t="s">
        <v>18</v>
      </c>
      <c r="G554" s="1" t="s">
        <v>74</v>
      </c>
      <c r="H554" s="1" t="s">
        <v>32</v>
      </c>
      <c r="I554" s="1" t="s">
        <v>80</v>
      </c>
      <c r="J554" s="1" t="s">
        <v>81</v>
      </c>
      <c r="K554" s="1" t="s">
        <v>60</v>
      </c>
      <c r="L554" s="1" t="s">
        <v>23</v>
      </c>
      <c r="M554" s="1" t="s">
        <v>36</v>
      </c>
    </row>
    <row r="555" spans="1:13" x14ac:dyDescent="0.3">
      <c r="A555" s="1" t="s">
        <v>926</v>
      </c>
      <c r="B555" s="1" t="s">
        <v>730</v>
      </c>
      <c r="C555" s="1" t="s">
        <v>216</v>
      </c>
      <c r="D555" s="1" t="s">
        <v>28</v>
      </c>
      <c r="E555" s="1" t="s">
        <v>64</v>
      </c>
      <c r="F555" s="1" t="s">
        <v>65</v>
      </c>
      <c r="G555" s="1" t="s">
        <v>42</v>
      </c>
      <c r="H555" s="1" t="s">
        <v>43</v>
      </c>
      <c r="I555" s="1" t="s">
        <v>67</v>
      </c>
      <c r="J555" s="1" t="s">
        <v>68</v>
      </c>
      <c r="K555" s="1" t="s">
        <v>114</v>
      </c>
      <c r="L555" s="1" t="s">
        <v>46</v>
      </c>
      <c r="M555" s="1" t="s">
        <v>172</v>
      </c>
    </row>
    <row r="556" spans="1:13" x14ac:dyDescent="0.3">
      <c r="A556" s="1" t="s">
        <v>927</v>
      </c>
      <c r="B556" s="1" t="s">
        <v>928</v>
      </c>
      <c r="C556" s="1" t="s">
        <v>390</v>
      </c>
      <c r="D556" s="1" t="s">
        <v>59</v>
      </c>
      <c r="E556" s="1" t="s">
        <v>51</v>
      </c>
      <c r="F556" s="1" t="s">
        <v>52</v>
      </c>
      <c r="G556" s="1" t="s">
        <v>42</v>
      </c>
      <c r="H556" s="1" t="s">
        <v>53</v>
      </c>
      <c r="I556" s="1" t="s">
        <v>54</v>
      </c>
      <c r="J556" s="1" t="s">
        <v>55</v>
      </c>
      <c r="K556" s="1" t="s">
        <v>114</v>
      </c>
      <c r="L556" s="1" t="s">
        <v>46</v>
      </c>
      <c r="M556" s="1" t="s">
        <v>36</v>
      </c>
    </row>
    <row r="557" spans="1:13" x14ac:dyDescent="0.3">
      <c r="A557" s="1" t="s">
        <v>929</v>
      </c>
      <c r="B557" s="1" t="s">
        <v>930</v>
      </c>
      <c r="C557" s="1" t="s">
        <v>451</v>
      </c>
      <c r="D557" s="1" t="s">
        <v>28</v>
      </c>
      <c r="E557" s="1" t="s">
        <v>40</v>
      </c>
      <c r="F557" s="1" t="s">
        <v>41</v>
      </c>
      <c r="G557" s="1" t="s">
        <v>42</v>
      </c>
      <c r="H557" s="1" t="s">
        <v>127</v>
      </c>
      <c r="I557" s="1" t="s">
        <v>44</v>
      </c>
      <c r="J557" s="1" t="s">
        <v>45</v>
      </c>
      <c r="K557" s="1" t="s">
        <v>20</v>
      </c>
      <c r="L557" s="1" t="s">
        <v>23</v>
      </c>
      <c r="M557" s="1" t="s">
        <v>36</v>
      </c>
    </row>
    <row r="558" spans="1:13" x14ac:dyDescent="0.3">
      <c r="A558" s="1" t="s">
        <v>931</v>
      </c>
      <c r="B558" s="1" t="s">
        <v>358</v>
      </c>
      <c r="C558" s="1" t="s">
        <v>162</v>
      </c>
      <c r="D558" s="1" t="s">
        <v>124</v>
      </c>
      <c r="E558" s="1" t="s">
        <v>51</v>
      </c>
      <c r="F558" s="1" t="s">
        <v>52</v>
      </c>
      <c r="G558" s="1" t="s">
        <v>42</v>
      </c>
      <c r="H558" s="1" t="s">
        <v>149</v>
      </c>
      <c r="I558" s="1" t="s">
        <v>54</v>
      </c>
      <c r="J558" s="1" t="s">
        <v>55</v>
      </c>
      <c r="K558" s="1" t="s">
        <v>35</v>
      </c>
      <c r="L558" s="1" t="s">
        <v>23</v>
      </c>
      <c r="M558" s="1" t="s">
        <v>36</v>
      </c>
    </row>
    <row r="559" spans="1:13" x14ac:dyDescent="0.3">
      <c r="A559" s="1" t="s">
        <v>932</v>
      </c>
      <c r="B559" s="1" t="s">
        <v>395</v>
      </c>
      <c r="C559" s="1" t="s">
        <v>364</v>
      </c>
      <c r="D559" s="1" t="s">
        <v>124</v>
      </c>
      <c r="E559" s="1" t="s">
        <v>72</v>
      </c>
      <c r="F559" s="1" t="s">
        <v>73</v>
      </c>
      <c r="G559" s="1" t="s">
        <v>74</v>
      </c>
      <c r="H559" s="1" t="s">
        <v>66</v>
      </c>
      <c r="I559" s="1" t="s">
        <v>75</v>
      </c>
      <c r="J559" s="1" t="s">
        <v>76</v>
      </c>
      <c r="K559" s="1" t="s">
        <v>60</v>
      </c>
      <c r="L559" s="1" t="s">
        <v>46</v>
      </c>
      <c r="M559" s="1" t="s">
        <v>36</v>
      </c>
    </row>
    <row r="560" spans="1:13" x14ac:dyDescent="0.3">
      <c r="A560" s="1" t="s">
        <v>933</v>
      </c>
      <c r="B560" s="1" t="s">
        <v>231</v>
      </c>
      <c r="C560" s="1" t="s">
        <v>671</v>
      </c>
      <c r="D560" s="1" t="s">
        <v>124</v>
      </c>
      <c r="E560" s="1" t="s">
        <v>72</v>
      </c>
      <c r="F560" s="1" t="s">
        <v>73</v>
      </c>
      <c r="G560" s="1" t="s">
        <v>74</v>
      </c>
      <c r="H560" s="1" t="s">
        <v>127</v>
      </c>
      <c r="I560" s="1" t="s">
        <v>75</v>
      </c>
      <c r="J560" s="1" t="s">
        <v>76</v>
      </c>
      <c r="K560" s="1" t="s">
        <v>35</v>
      </c>
      <c r="L560" s="1" t="s">
        <v>23</v>
      </c>
      <c r="M560" s="1" t="s">
        <v>36</v>
      </c>
    </row>
    <row r="561" spans="1:13" x14ac:dyDescent="0.3">
      <c r="A561" s="1" t="s">
        <v>934</v>
      </c>
      <c r="B561" s="1" t="s">
        <v>161</v>
      </c>
      <c r="C561" s="1" t="s">
        <v>318</v>
      </c>
      <c r="D561" s="1" t="s">
        <v>28</v>
      </c>
      <c r="E561" s="1" t="s">
        <v>89</v>
      </c>
      <c r="F561" s="1" t="s">
        <v>90</v>
      </c>
      <c r="G561" s="1" t="s">
        <v>74</v>
      </c>
      <c r="H561" s="1" t="s">
        <v>149</v>
      </c>
      <c r="I561" s="1" t="s">
        <v>92</v>
      </c>
      <c r="J561" s="1" t="s">
        <v>93</v>
      </c>
      <c r="K561" s="1" t="s">
        <v>35</v>
      </c>
      <c r="L561" s="1" t="s">
        <v>46</v>
      </c>
      <c r="M561" s="1" t="s">
        <v>36</v>
      </c>
    </row>
    <row r="562" spans="1:13" x14ac:dyDescent="0.3">
      <c r="A562" s="1" t="s">
        <v>935</v>
      </c>
      <c r="B562" s="1" t="s">
        <v>936</v>
      </c>
      <c r="C562" s="1" t="s">
        <v>238</v>
      </c>
      <c r="D562" s="1" t="s">
        <v>50</v>
      </c>
      <c r="E562" s="1" t="s">
        <v>17</v>
      </c>
      <c r="F562" s="1" t="s">
        <v>18</v>
      </c>
      <c r="G562" s="1" t="s">
        <v>74</v>
      </c>
      <c r="H562" s="1" t="s">
        <v>149</v>
      </c>
      <c r="I562" s="1" t="s">
        <v>80</v>
      </c>
      <c r="J562" s="1" t="s">
        <v>81</v>
      </c>
      <c r="K562" s="1" t="s">
        <v>114</v>
      </c>
      <c r="L562" s="1" t="s">
        <v>46</v>
      </c>
      <c r="M562" s="1" t="s">
        <v>36</v>
      </c>
    </row>
    <row r="563" spans="1:13" x14ac:dyDescent="0.3">
      <c r="A563" s="1" t="s">
        <v>937</v>
      </c>
      <c r="B563" s="1" t="s">
        <v>335</v>
      </c>
      <c r="C563" s="1" t="s">
        <v>202</v>
      </c>
      <c r="D563" s="1" t="s">
        <v>59</v>
      </c>
      <c r="E563" s="1" t="s">
        <v>40</v>
      </c>
      <c r="F563" s="1" t="s">
        <v>41</v>
      </c>
      <c r="G563" s="1" t="s">
        <v>42</v>
      </c>
      <c r="H563" s="1" t="s">
        <v>53</v>
      </c>
      <c r="I563" s="1" t="s">
        <v>44</v>
      </c>
      <c r="J563" s="1" t="s">
        <v>45</v>
      </c>
      <c r="K563" s="1" t="s">
        <v>60</v>
      </c>
      <c r="L563" s="1" t="s">
        <v>23</v>
      </c>
      <c r="M563" s="1" t="s">
        <v>36</v>
      </c>
    </row>
    <row r="564" spans="1:13" x14ac:dyDescent="0.3">
      <c r="A564" s="1" t="s">
        <v>938</v>
      </c>
      <c r="B564" s="1" t="s">
        <v>825</v>
      </c>
      <c r="C564" s="1" t="s">
        <v>211</v>
      </c>
      <c r="D564" s="1" t="s">
        <v>124</v>
      </c>
      <c r="E564" s="1" t="s">
        <v>17</v>
      </c>
      <c r="F564" s="1" t="s">
        <v>18</v>
      </c>
      <c r="G564" s="1" t="s">
        <v>74</v>
      </c>
      <c r="H564" s="1" t="s">
        <v>53</v>
      </c>
      <c r="I564" s="1" t="s">
        <v>80</v>
      </c>
      <c r="J564" s="1" t="s">
        <v>81</v>
      </c>
      <c r="K564" s="1" t="s">
        <v>60</v>
      </c>
      <c r="L564" s="1" t="s">
        <v>23</v>
      </c>
      <c r="M564" s="1" t="s">
        <v>36</v>
      </c>
    </row>
    <row r="565" spans="1:13" x14ac:dyDescent="0.3">
      <c r="A565" s="1" t="s">
        <v>939</v>
      </c>
      <c r="B565" s="1" t="s">
        <v>619</v>
      </c>
      <c r="C565" s="1" t="s">
        <v>263</v>
      </c>
      <c r="D565" s="1" t="s">
        <v>124</v>
      </c>
      <c r="E565" s="1" t="s">
        <v>72</v>
      </c>
      <c r="F565" s="1" t="s">
        <v>73</v>
      </c>
      <c r="G565" s="1" t="s">
        <v>74</v>
      </c>
      <c r="H565" s="1" t="s">
        <v>53</v>
      </c>
      <c r="I565" s="1" t="s">
        <v>75</v>
      </c>
      <c r="J565" s="1" t="s">
        <v>76</v>
      </c>
      <c r="K565" s="1" t="s">
        <v>60</v>
      </c>
      <c r="L565" s="1" t="s">
        <v>46</v>
      </c>
      <c r="M565" s="1" t="s">
        <v>36</v>
      </c>
    </row>
    <row r="566" spans="1:13" x14ac:dyDescent="0.3">
      <c r="A566" s="1" t="s">
        <v>940</v>
      </c>
      <c r="B566" s="1" t="s">
        <v>650</v>
      </c>
      <c r="C566" s="1" t="s">
        <v>243</v>
      </c>
      <c r="D566" s="1" t="s">
        <v>50</v>
      </c>
      <c r="E566" s="1" t="s">
        <v>64</v>
      </c>
      <c r="F566" s="1" t="s">
        <v>65</v>
      </c>
      <c r="G566" s="1" t="s">
        <v>42</v>
      </c>
      <c r="H566" s="1" t="s">
        <v>53</v>
      </c>
      <c r="I566" s="1" t="s">
        <v>67</v>
      </c>
      <c r="J566" s="1" t="s">
        <v>68</v>
      </c>
      <c r="K566" s="1" t="s">
        <v>311</v>
      </c>
      <c r="L566" s="1" t="s">
        <v>46</v>
      </c>
      <c r="M566" s="1" t="s">
        <v>36</v>
      </c>
    </row>
    <row r="567" spans="1:13" x14ac:dyDescent="0.3">
      <c r="A567" s="1" t="s">
        <v>941</v>
      </c>
      <c r="B567" s="1" t="s">
        <v>810</v>
      </c>
      <c r="C567" s="1" t="s">
        <v>454</v>
      </c>
      <c r="D567" s="1" t="s">
        <v>59</v>
      </c>
      <c r="E567" s="1" t="s">
        <v>17</v>
      </c>
      <c r="F567" s="1" t="s">
        <v>18</v>
      </c>
      <c r="G567" s="1" t="s">
        <v>74</v>
      </c>
      <c r="H567" s="1" t="s">
        <v>127</v>
      </c>
      <c r="I567" s="1" t="s">
        <v>80</v>
      </c>
      <c r="J567" s="1" t="s">
        <v>81</v>
      </c>
      <c r="K567" s="1" t="s">
        <v>114</v>
      </c>
      <c r="L567" s="1" t="s">
        <v>46</v>
      </c>
      <c r="M567" s="1" t="s">
        <v>36</v>
      </c>
    </row>
    <row r="568" spans="1:13" x14ac:dyDescent="0.3">
      <c r="A568" s="1" t="s">
        <v>942</v>
      </c>
      <c r="B568" s="1" t="s">
        <v>193</v>
      </c>
      <c r="C568" s="1" t="s">
        <v>182</v>
      </c>
      <c r="D568" s="1" t="s">
        <v>124</v>
      </c>
      <c r="E568" s="1" t="s">
        <v>64</v>
      </c>
      <c r="F568" s="1" t="s">
        <v>65</v>
      </c>
      <c r="G568" s="1" t="s">
        <v>42</v>
      </c>
      <c r="H568" s="1" t="s">
        <v>85</v>
      </c>
      <c r="I568" s="1" t="s">
        <v>67</v>
      </c>
      <c r="J568" s="1" t="s">
        <v>68</v>
      </c>
      <c r="K568" s="1" t="s">
        <v>20</v>
      </c>
      <c r="L568" s="1" t="s">
        <v>46</v>
      </c>
      <c r="M568" s="1" t="s">
        <v>172</v>
      </c>
    </row>
    <row r="569" spans="1:13" x14ac:dyDescent="0.3">
      <c r="A569" s="1" t="s">
        <v>943</v>
      </c>
      <c r="B569" s="1" t="s">
        <v>723</v>
      </c>
      <c r="C569" s="1" t="s">
        <v>216</v>
      </c>
      <c r="D569" s="1" t="s">
        <v>59</v>
      </c>
      <c r="E569" s="1" t="s">
        <v>64</v>
      </c>
      <c r="F569" s="1" t="s">
        <v>65</v>
      </c>
      <c r="G569" s="1" t="s">
        <v>42</v>
      </c>
      <c r="H569" s="1" t="s">
        <v>53</v>
      </c>
      <c r="I569" s="1" t="s">
        <v>67</v>
      </c>
      <c r="J569" s="1" t="s">
        <v>68</v>
      </c>
      <c r="K569" s="1" t="s">
        <v>35</v>
      </c>
      <c r="L569" s="1" t="s">
        <v>23</v>
      </c>
      <c r="M569" s="1" t="s">
        <v>36</v>
      </c>
    </row>
    <row r="570" spans="1:13" x14ac:dyDescent="0.3">
      <c r="A570" s="1" t="s">
        <v>944</v>
      </c>
      <c r="B570" s="1" t="s">
        <v>204</v>
      </c>
      <c r="C570" s="1" t="s">
        <v>211</v>
      </c>
      <c r="D570" s="1" t="s">
        <v>16</v>
      </c>
      <c r="E570" s="1" t="s">
        <v>51</v>
      </c>
      <c r="F570" s="1" t="s">
        <v>52</v>
      </c>
      <c r="G570" s="1" t="s">
        <v>42</v>
      </c>
      <c r="H570" s="1" t="s">
        <v>85</v>
      </c>
      <c r="I570" s="1" t="s">
        <v>54</v>
      </c>
      <c r="J570" s="1" t="s">
        <v>55</v>
      </c>
      <c r="K570" s="1" t="s">
        <v>35</v>
      </c>
      <c r="L570" s="1" t="s">
        <v>46</v>
      </c>
      <c r="M570" s="1" t="s">
        <v>36</v>
      </c>
    </row>
    <row r="571" spans="1:13" x14ac:dyDescent="0.3">
      <c r="A571" s="1" t="s">
        <v>945</v>
      </c>
      <c r="B571" s="1" t="s">
        <v>571</v>
      </c>
      <c r="C571" s="1" t="s">
        <v>260</v>
      </c>
      <c r="D571" s="1" t="s">
        <v>59</v>
      </c>
      <c r="E571" s="1" t="s">
        <v>89</v>
      </c>
      <c r="F571" s="1" t="s">
        <v>90</v>
      </c>
      <c r="G571" s="1" t="s">
        <v>74</v>
      </c>
      <c r="H571" s="1" t="s">
        <v>149</v>
      </c>
      <c r="I571" s="1" t="s">
        <v>92</v>
      </c>
      <c r="J571" s="1" t="s">
        <v>93</v>
      </c>
      <c r="K571" s="1" t="s">
        <v>20</v>
      </c>
      <c r="L571" s="1" t="s">
        <v>23</v>
      </c>
      <c r="M571" s="1" t="s">
        <v>36</v>
      </c>
    </row>
    <row r="572" spans="1:13" x14ac:dyDescent="0.3">
      <c r="A572" s="1" t="s">
        <v>946</v>
      </c>
      <c r="B572" s="1" t="s">
        <v>250</v>
      </c>
      <c r="C572" s="1" t="s">
        <v>152</v>
      </c>
      <c r="D572" s="1" t="s">
        <v>50</v>
      </c>
      <c r="E572" s="1" t="s">
        <v>72</v>
      </c>
      <c r="F572" s="1" t="s">
        <v>73</v>
      </c>
      <c r="G572" s="1" t="s">
        <v>74</v>
      </c>
      <c r="H572" s="1" t="s">
        <v>91</v>
      </c>
      <c r="I572" s="1" t="s">
        <v>75</v>
      </c>
      <c r="J572" s="1" t="s">
        <v>76</v>
      </c>
      <c r="K572" s="1" t="s">
        <v>20</v>
      </c>
      <c r="L572" s="1" t="s">
        <v>46</v>
      </c>
      <c r="M572" s="1" t="s">
        <v>36</v>
      </c>
    </row>
    <row r="573" spans="1:13" x14ac:dyDescent="0.3">
      <c r="A573" s="1" t="s">
        <v>947</v>
      </c>
      <c r="B573" s="1" t="s">
        <v>480</v>
      </c>
      <c r="C573" s="1" t="s">
        <v>315</v>
      </c>
      <c r="D573" s="1" t="s">
        <v>28</v>
      </c>
      <c r="E573" s="1" t="s">
        <v>106</v>
      </c>
      <c r="F573" s="1" t="s">
        <v>107</v>
      </c>
      <c r="G573" s="1" t="s">
        <v>31</v>
      </c>
      <c r="H573" s="1" t="s">
        <v>43</v>
      </c>
      <c r="I573" s="1" t="s">
        <v>34</v>
      </c>
      <c r="J573" s="1" t="s">
        <v>108</v>
      </c>
      <c r="K573" s="1" t="s">
        <v>114</v>
      </c>
      <c r="L573" s="1" t="s">
        <v>23</v>
      </c>
      <c r="M573" s="1" t="s">
        <v>36</v>
      </c>
    </row>
    <row r="574" spans="1:13" x14ac:dyDescent="0.3">
      <c r="A574" s="1" t="s">
        <v>948</v>
      </c>
      <c r="B574" s="1" t="s">
        <v>886</v>
      </c>
      <c r="C574" s="1" t="s">
        <v>58</v>
      </c>
      <c r="D574" s="1" t="s">
        <v>28</v>
      </c>
      <c r="E574" s="1" t="s">
        <v>64</v>
      </c>
      <c r="F574" s="1" t="s">
        <v>65</v>
      </c>
      <c r="G574" s="1" t="s">
        <v>42</v>
      </c>
      <c r="H574" s="1" t="s">
        <v>43</v>
      </c>
      <c r="I574" s="1" t="s">
        <v>67</v>
      </c>
      <c r="J574" s="1" t="s">
        <v>68</v>
      </c>
      <c r="K574" s="1" t="s">
        <v>20</v>
      </c>
      <c r="L574" s="1" t="s">
        <v>23</v>
      </c>
      <c r="M574" s="1" t="s">
        <v>36</v>
      </c>
    </row>
    <row r="575" spans="1:13" x14ac:dyDescent="0.3">
      <c r="A575" s="1" t="s">
        <v>949</v>
      </c>
      <c r="B575" s="1" t="s">
        <v>448</v>
      </c>
      <c r="C575" s="1" t="s">
        <v>295</v>
      </c>
      <c r="D575" s="1" t="s">
        <v>124</v>
      </c>
      <c r="E575" s="1" t="s">
        <v>40</v>
      </c>
      <c r="F575" s="1" t="s">
        <v>41</v>
      </c>
      <c r="G575" s="1" t="s">
        <v>42</v>
      </c>
      <c r="H575" s="1" t="s">
        <v>127</v>
      </c>
      <c r="I575" s="1" t="s">
        <v>44</v>
      </c>
      <c r="J575" s="1" t="s">
        <v>45</v>
      </c>
      <c r="K575" s="1" t="s">
        <v>35</v>
      </c>
      <c r="L575" s="1" t="s">
        <v>46</v>
      </c>
      <c r="M575" s="1" t="s">
        <v>36</v>
      </c>
    </row>
    <row r="576" spans="1:13" x14ac:dyDescent="0.3">
      <c r="A576" s="1" t="s">
        <v>950</v>
      </c>
      <c r="B576" s="1" t="s">
        <v>134</v>
      </c>
      <c r="C576" s="1" t="s">
        <v>159</v>
      </c>
      <c r="D576" s="1" t="s">
        <v>124</v>
      </c>
      <c r="E576" s="1" t="s">
        <v>29</v>
      </c>
      <c r="F576" s="1" t="s">
        <v>30</v>
      </c>
      <c r="G576" s="1" t="s">
        <v>368</v>
      </c>
      <c r="H576" s="1" t="s">
        <v>127</v>
      </c>
      <c r="I576" s="1" t="s">
        <v>33</v>
      </c>
      <c r="J576" s="1" t="s">
        <v>34</v>
      </c>
      <c r="K576" s="1" t="s">
        <v>60</v>
      </c>
      <c r="L576" s="1" t="s">
        <v>46</v>
      </c>
      <c r="M576" s="1" t="s">
        <v>36</v>
      </c>
    </row>
    <row r="577" spans="1:13" x14ac:dyDescent="0.3">
      <c r="A577" s="1" t="s">
        <v>951</v>
      </c>
      <c r="B577" s="1" t="s">
        <v>490</v>
      </c>
      <c r="C577" s="1" t="s">
        <v>71</v>
      </c>
      <c r="D577" s="1" t="s">
        <v>50</v>
      </c>
      <c r="E577" s="1" t="s">
        <v>29</v>
      </c>
      <c r="F577" s="1" t="s">
        <v>30</v>
      </c>
      <c r="G577" s="1" t="s">
        <v>31</v>
      </c>
      <c r="H577" s="1" t="s">
        <v>43</v>
      </c>
      <c r="I577" s="1" t="s">
        <v>33</v>
      </c>
      <c r="J577" s="1" t="s">
        <v>34</v>
      </c>
      <c r="K577" s="1" t="s">
        <v>35</v>
      </c>
      <c r="L577" s="1" t="s">
        <v>23</v>
      </c>
      <c r="M577" s="1" t="s">
        <v>36</v>
      </c>
    </row>
    <row r="578" spans="1:13" x14ac:dyDescent="0.3">
      <c r="A578" s="1" t="s">
        <v>952</v>
      </c>
      <c r="B578" s="1" t="s">
        <v>681</v>
      </c>
      <c r="C578" s="1" t="s">
        <v>462</v>
      </c>
      <c r="D578" s="1" t="s">
        <v>124</v>
      </c>
      <c r="E578" s="1" t="s">
        <v>51</v>
      </c>
      <c r="F578" s="1" t="s">
        <v>52</v>
      </c>
      <c r="G578" s="1" t="s">
        <v>42</v>
      </c>
      <c r="H578" s="1" t="s">
        <v>53</v>
      </c>
      <c r="I578" s="1" t="s">
        <v>54</v>
      </c>
      <c r="J578" s="1" t="s">
        <v>55</v>
      </c>
      <c r="K578" s="1" t="s">
        <v>114</v>
      </c>
      <c r="L578" s="1" t="s">
        <v>23</v>
      </c>
      <c r="M578" s="1" t="s">
        <v>36</v>
      </c>
    </row>
    <row r="579" spans="1:13" x14ac:dyDescent="0.3">
      <c r="A579" s="1" t="s">
        <v>953</v>
      </c>
      <c r="B579" s="1" t="s">
        <v>483</v>
      </c>
      <c r="C579" s="1" t="s">
        <v>410</v>
      </c>
      <c r="D579" s="1" t="s">
        <v>28</v>
      </c>
      <c r="E579" s="1" t="s">
        <v>64</v>
      </c>
      <c r="F579" s="1" t="s">
        <v>65</v>
      </c>
      <c r="G579" s="1" t="s">
        <v>42</v>
      </c>
      <c r="H579" s="1" t="s">
        <v>32</v>
      </c>
      <c r="I579" s="1" t="s">
        <v>67</v>
      </c>
      <c r="J579" s="1" t="s">
        <v>68</v>
      </c>
      <c r="K579" s="1" t="s">
        <v>35</v>
      </c>
      <c r="L579" s="1" t="s">
        <v>46</v>
      </c>
      <c r="M579" s="1" t="s">
        <v>36</v>
      </c>
    </row>
    <row r="580" spans="1:13" x14ac:dyDescent="0.3">
      <c r="A580" s="1" t="s">
        <v>954</v>
      </c>
      <c r="B580" s="1" t="s">
        <v>337</v>
      </c>
      <c r="C580" s="1" t="s">
        <v>123</v>
      </c>
      <c r="D580" s="1" t="s">
        <v>28</v>
      </c>
      <c r="E580" s="1" t="s">
        <v>40</v>
      </c>
      <c r="F580" s="1" t="s">
        <v>41</v>
      </c>
      <c r="G580" s="1" t="s">
        <v>42</v>
      </c>
      <c r="H580" s="1" t="s">
        <v>149</v>
      </c>
      <c r="I580" s="1" t="s">
        <v>44</v>
      </c>
      <c r="J580" s="1" t="s">
        <v>45</v>
      </c>
      <c r="K580" s="1" t="s">
        <v>20</v>
      </c>
      <c r="L580" s="1" t="s">
        <v>23</v>
      </c>
      <c r="M580" s="1" t="s">
        <v>36</v>
      </c>
    </row>
    <row r="581" spans="1:13" x14ac:dyDescent="0.3">
      <c r="A581" s="1" t="s">
        <v>955</v>
      </c>
      <c r="B581" s="1" t="s">
        <v>403</v>
      </c>
      <c r="C581" s="1" t="s">
        <v>84</v>
      </c>
      <c r="D581" s="1" t="s">
        <v>28</v>
      </c>
      <c r="E581" s="1" t="s">
        <v>106</v>
      </c>
      <c r="F581" s="1" t="s">
        <v>107</v>
      </c>
      <c r="G581" s="1" t="s">
        <v>31</v>
      </c>
      <c r="H581" s="1" t="s">
        <v>127</v>
      </c>
      <c r="I581" s="1" t="s">
        <v>34</v>
      </c>
      <c r="J581" s="1" t="s">
        <v>108</v>
      </c>
      <c r="K581" s="1" t="s">
        <v>35</v>
      </c>
      <c r="L581" s="1" t="s">
        <v>46</v>
      </c>
      <c r="M581" s="1" t="s">
        <v>36</v>
      </c>
    </row>
    <row r="582" spans="1:13" x14ac:dyDescent="0.3">
      <c r="A582" s="1" t="s">
        <v>956</v>
      </c>
      <c r="B582" s="1" t="s">
        <v>362</v>
      </c>
      <c r="C582" s="1" t="s">
        <v>111</v>
      </c>
      <c r="D582" s="1" t="s">
        <v>233</v>
      </c>
      <c r="E582" s="1" t="s">
        <v>51</v>
      </c>
      <c r="F582" s="1" t="s">
        <v>52</v>
      </c>
      <c r="G582" s="1" t="s">
        <v>42</v>
      </c>
      <c r="H582" s="1" t="s">
        <v>127</v>
      </c>
      <c r="I582" s="1" t="s">
        <v>54</v>
      </c>
      <c r="J582" s="1" t="s">
        <v>55</v>
      </c>
      <c r="K582" s="1" t="s">
        <v>20</v>
      </c>
      <c r="L582" s="1" t="s">
        <v>23</v>
      </c>
      <c r="M582" s="1" t="s">
        <v>36</v>
      </c>
    </row>
    <row r="583" spans="1:13" x14ac:dyDescent="0.3">
      <c r="A583" s="1" t="s">
        <v>957</v>
      </c>
      <c r="B583" s="1" t="s">
        <v>500</v>
      </c>
      <c r="C583" s="1" t="s">
        <v>102</v>
      </c>
      <c r="D583" s="1" t="s">
        <v>28</v>
      </c>
      <c r="E583" s="1" t="s">
        <v>29</v>
      </c>
      <c r="F583" s="1" t="s">
        <v>30</v>
      </c>
      <c r="G583" s="1" t="s">
        <v>31</v>
      </c>
      <c r="H583" s="1" t="s">
        <v>127</v>
      </c>
      <c r="I583" s="1" t="s">
        <v>33</v>
      </c>
      <c r="J583" s="1" t="s">
        <v>34</v>
      </c>
      <c r="K583" s="1" t="s">
        <v>20</v>
      </c>
      <c r="L583" s="1" t="s">
        <v>23</v>
      </c>
      <c r="M583" s="1" t="s">
        <v>36</v>
      </c>
    </row>
    <row r="584" spans="1:13" x14ac:dyDescent="0.3">
      <c r="A584" s="1" t="s">
        <v>958</v>
      </c>
      <c r="B584" s="1" t="s">
        <v>204</v>
      </c>
      <c r="C584" s="1" t="s">
        <v>248</v>
      </c>
      <c r="D584" s="1" t="s">
        <v>59</v>
      </c>
      <c r="E584" s="1" t="s">
        <v>72</v>
      </c>
      <c r="F584" s="1" t="s">
        <v>73</v>
      </c>
      <c r="G584" s="1" t="s">
        <v>74</v>
      </c>
      <c r="H584" s="1" t="s">
        <v>20</v>
      </c>
      <c r="I584" s="1" t="s">
        <v>75</v>
      </c>
      <c r="J584" s="1" t="s">
        <v>76</v>
      </c>
      <c r="K584" s="1" t="s">
        <v>114</v>
      </c>
      <c r="L584" s="1" t="s">
        <v>46</v>
      </c>
      <c r="M584" s="1" t="s">
        <v>36</v>
      </c>
    </row>
    <row r="585" spans="1:13" x14ac:dyDescent="0.3">
      <c r="A585" s="1" t="s">
        <v>959</v>
      </c>
      <c r="B585" s="1" t="s">
        <v>586</v>
      </c>
      <c r="C585" s="1" t="s">
        <v>238</v>
      </c>
      <c r="D585" s="1" t="s">
        <v>59</v>
      </c>
      <c r="E585" s="1" t="s">
        <v>17</v>
      </c>
      <c r="F585" s="1" t="s">
        <v>18</v>
      </c>
      <c r="G585" s="1" t="s">
        <v>74</v>
      </c>
      <c r="H585" s="1" t="s">
        <v>127</v>
      </c>
      <c r="I585" s="1" t="s">
        <v>21</v>
      </c>
      <c r="J585" s="1" t="s">
        <v>81</v>
      </c>
      <c r="K585" s="1" t="s">
        <v>20</v>
      </c>
      <c r="L585" s="1" t="s">
        <v>23</v>
      </c>
      <c r="M585" s="1" t="s">
        <v>36</v>
      </c>
    </row>
    <row r="586" spans="1:13" x14ac:dyDescent="0.3">
      <c r="A586" s="1" t="s">
        <v>960</v>
      </c>
      <c r="B586" s="1" t="s">
        <v>655</v>
      </c>
      <c r="C586" s="1" t="s">
        <v>232</v>
      </c>
      <c r="D586" s="1" t="s">
        <v>50</v>
      </c>
      <c r="E586" s="1" t="s">
        <v>89</v>
      </c>
      <c r="F586" s="1" t="s">
        <v>90</v>
      </c>
      <c r="G586" s="1" t="s">
        <v>74</v>
      </c>
      <c r="H586" s="1" t="s">
        <v>127</v>
      </c>
      <c r="I586" s="1" t="s">
        <v>92</v>
      </c>
      <c r="J586" s="1" t="s">
        <v>93</v>
      </c>
      <c r="K586" s="1" t="s">
        <v>114</v>
      </c>
      <c r="L586" s="1" t="s">
        <v>23</v>
      </c>
      <c r="M586" s="1" t="s">
        <v>36</v>
      </c>
    </row>
    <row r="587" spans="1:13" x14ac:dyDescent="0.3">
      <c r="A587" s="1" t="s">
        <v>961</v>
      </c>
      <c r="B587" s="1" t="s">
        <v>292</v>
      </c>
      <c r="C587" s="1" t="s">
        <v>140</v>
      </c>
      <c r="D587" s="1" t="s">
        <v>124</v>
      </c>
      <c r="E587" s="1" t="s">
        <v>64</v>
      </c>
      <c r="F587" s="1" t="s">
        <v>65</v>
      </c>
      <c r="G587" s="1" t="s">
        <v>42</v>
      </c>
      <c r="H587" s="1" t="s">
        <v>43</v>
      </c>
      <c r="I587" s="1" t="s">
        <v>67</v>
      </c>
      <c r="J587" s="1" t="s">
        <v>68</v>
      </c>
      <c r="K587" s="1" t="s">
        <v>35</v>
      </c>
      <c r="L587" s="1" t="s">
        <v>23</v>
      </c>
      <c r="M587" s="1" t="s">
        <v>36</v>
      </c>
    </row>
    <row r="588" spans="1:13" x14ac:dyDescent="0.3">
      <c r="A588" s="1" t="s">
        <v>962</v>
      </c>
      <c r="B588" s="1" t="s">
        <v>116</v>
      </c>
      <c r="C588" s="1" t="s">
        <v>325</v>
      </c>
      <c r="D588" s="1" t="s">
        <v>50</v>
      </c>
      <c r="E588" s="1" t="s">
        <v>51</v>
      </c>
      <c r="F588" s="1" t="s">
        <v>52</v>
      </c>
      <c r="G588" s="1" t="s">
        <v>42</v>
      </c>
      <c r="H588" s="1" t="s">
        <v>53</v>
      </c>
      <c r="I588" s="1" t="s">
        <v>54</v>
      </c>
      <c r="J588" s="1" t="s">
        <v>55</v>
      </c>
      <c r="K588" s="1" t="s">
        <v>114</v>
      </c>
      <c r="L588" s="1" t="s">
        <v>23</v>
      </c>
      <c r="M588" s="1" t="s">
        <v>36</v>
      </c>
    </row>
    <row r="589" spans="1:13" x14ac:dyDescent="0.3">
      <c r="A589" s="1" t="s">
        <v>963</v>
      </c>
      <c r="B589" s="1" t="s">
        <v>650</v>
      </c>
      <c r="C589" s="1" t="s">
        <v>410</v>
      </c>
      <c r="D589" s="1" t="s">
        <v>28</v>
      </c>
      <c r="E589" s="1" t="s">
        <v>17</v>
      </c>
      <c r="F589" s="1" t="s">
        <v>18</v>
      </c>
      <c r="G589" s="1" t="s">
        <v>74</v>
      </c>
      <c r="H589" s="1" t="s">
        <v>66</v>
      </c>
      <c r="I589" s="1" t="s">
        <v>80</v>
      </c>
      <c r="J589" s="1" t="s">
        <v>81</v>
      </c>
      <c r="K589" s="1" t="s">
        <v>114</v>
      </c>
      <c r="L589" s="1" t="s">
        <v>46</v>
      </c>
      <c r="M589" s="1" t="s">
        <v>36</v>
      </c>
    </row>
    <row r="590" spans="1:13" x14ac:dyDescent="0.3">
      <c r="A590" s="1" t="s">
        <v>964</v>
      </c>
      <c r="B590" s="1" t="s">
        <v>524</v>
      </c>
      <c r="C590" s="1" t="s">
        <v>227</v>
      </c>
      <c r="D590" s="1" t="s">
        <v>28</v>
      </c>
      <c r="E590" s="1" t="s">
        <v>64</v>
      </c>
      <c r="F590" s="1" t="s">
        <v>65</v>
      </c>
      <c r="G590" s="1" t="s">
        <v>42</v>
      </c>
      <c r="H590" s="1" t="s">
        <v>43</v>
      </c>
      <c r="I590" s="1" t="s">
        <v>67</v>
      </c>
      <c r="J590" s="1" t="s">
        <v>68</v>
      </c>
      <c r="K590" s="1" t="s">
        <v>114</v>
      </c>
      <c r="L590" s="1" t="s">
        <v>46</v>
      </c>
      <c r="M590" s="1" t="s">
        <v>36</v>
      </c>
    </row>
    <row r="591" spans="1:13" x14ac:dyDescent="0.3">
      <c r="A591" s="1" t="s">
        <v>965</v>
      </c>
      <c r="B591" s="1" t="s">
        <v>337</v>
      </c>
      <c r="C591" s="1" t="s">
        <v>63</v>
      </c>
      <c r="D591" s="1" t="s">
        <v>28</v>
      </c>
      <c r="E591" s="1" t="s">
        <v>29</v>
      </c>
      <c r="F591" s="1" t="s">
        <v>30</v>
      </c>
      <c r="G591" s="1" t="s">
        <v>31</v>
      </c>
      <c r="H591" s="1" t="s">
        <v>91</v>
      </c>
      <c r="I591" s="1" t="s">
        <v>33</v>
      </c>
      <c r="J591" s="1" t="s">
        <v>34</v>
      </c>
      <c r="K591" s="1" t="s">
        <v>20</v>
      </c>
      <c r="L591" s="1" t="s">
        <v>23</v>
      </c>
      <c r="M591" s="1" t="s">
        <v>172</v>
      </c>
    </row>
    <row r="592" spans="1:13" x14ac:dyDescent="0.3">
      <c r="A592" s="1" t="s">
        <v>966</v>
      </c>
      <c r="B592" s="1" t="s">
        <v>468</v>
      </c>
      <c r="C592" s="1" t="s">
        <v>84</v>
      </c>
      <c r="D592" s="1" t="s">
        <v>124</v>
      </c>
      <c r="E592" s="1" t="s">
        <v>51</v>
      </c>
      <c r="F592" s="1" t="s">
        <v>52</v>
      </c>
      <c r="G592" s="1" t="s">
        <v>42</v>
      </c>
      <c r="H592" s="1" t="s">
        <v>43</v>
      </c>
      <c r="I592" s="1" t="s">
        <v>54</v>
      </c>
      <c r="J592" s="1" t="s">
        <v>55</v>
      </c>
      <c r="K592" s="1" t="s">
        <v>35</v>
      </c>
      <c r="L592" s="1" t="s">
        <v>23</v>
      </c>
      <c r="M592" s="1" t="s">
        <v>36</v>
      </c>
    </row>
    <row r="593" spans="1:13" x14ac:dyDescent="0.3">
      <c r="A593" s="1" t="s">
        <v>967</v>
      </c>
      <c r="B593" s="1" t="s">
        <v>788</v>
      </c>
      <c r="C593" s="1" t="s">
        <v>743</v>
      </c>
      <c r="D593" s="1" t="s">
        <v>59</v>
      </c>
      <c r="E593" s="1" t="s">
        <v>106</v>
      </c>
      <c r="F593" s="1" t="s">
        <v>107</v>
      </c>
      <c r="G593" s="1" t="s">
        <v>31</v>
      </c>
      <c r="H593" s="1" t="s">
        <v>53</v>
      </c>
      <c r="I593" s="1" t="s">
        <v>34</v>
      </c>
      <c r="J593" s="1" t="s">
        <v>108</v>
      </c>
      <c r="K593" s="1" t="s">
        <v>35</v>
      </c>
      <c r="L593" s="1" t="s">
        <v>46</v>
      </c>
      <c r="M593" s="1" t="s">
        <v>36</v>
      </c>
    </row>
    <row r="594" spans="1:13" x14ac:dyDescent="0.3">
      <c r="A594" s="1" t="s">
        <v>968</v>
      </c>
      <c r="B594" s="1" t="s">
        <v>969</v>
      </c>
      <c r="C594" s="1" t="s">
        <v>162</v>
      </c>
      <c r="D594" s="1" t="s">
        <v>28</v>
      </c>
      <c r="E594" s="1" t="s">
        <v>40</v>
      </c>
      <c r="F594" s="1" t="s">
        <v>41</v>
      </c>
      <c r="G594" s="1" t="s">
        <v>42</v>
      </c>
      <c r="H594" s="1" t="s">
        <v>127</v>
      </c>
      <c r="I594" s="1" t="s">
        <v>44</v>
      </c>
      <c r="J594" s="1" t="s">
        <v>45</v>
      </c>
      <c r="K594" s="1" t="s">
        <v>114</v>
      </c>
      <c r="L594" s="1" t="s">
        <v>46</v>
      </c>
      <c r="M594" s="1" t="s">
        <v>36</v>
      </c>
    </row>
    <row r="595" spans="1:13" x14ac:dyDescent="0.3">
      <c r="A595" s="1" t="s">
        <v>970</v>
      </c>
      <c r="B595" s="1" t="s">
        <v>119</v>
      </c>
      <c r="C595" s="1" t="s">
        <v>222</v>
      </c>
      <c r="D595" s="1" t="s">
        <v>50</v>
      </c>
      <c r="E595" s="1" t="s">
        <v>64</v>
      </c>
      <c r="F595" s="1" t="s">
        <v>65</v>
      </c>
      <c r="G595" s="1" t="s">
        <v>42</v>
      </c>
      <c r="H595" s="1" t="s">
        <v>53</v>
      </c>
      <c r="I595" s="1" t="s">
        <v>67</v>
      </c>
      <c r="J595" s="1" t="s">
        <v>68</v>
      </c>
      <c r="K595" s="1" t="s">
        <v>114</v>
      </c>
      <c r="L595" s="1" t="s">
        <v>46</v>
      </c>
      <c r="M595" s="1" t="s">
        <v>36</v>
      </c>
    </row>
    <row r="596" spans="1:13" x14ac:dyDescent="0.3">
      <c r="A596" s="1" t="s">
        <v>971</v>
      </c>
      <c r="B596" s="1" t="s">
        <v>902</v>
      </c>
      <c r="C596" s="1" t="s">
        <v>194</v>
      </c>
      <c r="D596" s="1" t="s">
        <v>28</v>
      </c>
      <c r="E596" s="1" t="s">
        <v>89</v>
      </c>
      <c r="F596" s="1" t="s">
        <v>90</v>
      </c>
      <c r="G596" s="1" t="s">
        <v>74</v>
      </c>
      <c r="H596" s="1" t="s">
        <v>53</v>
      </c>
      <c r="I596" s="1" t="s">
        <v>92</v>
      </c>
      <c r="J596" s="1" t="s">
        <v>93</v>
      </c>
      <c r="K596" s="1" t="s">
        <v>114</v>
      </c>
      <c r="L596" s="1" t="s">
        <v>23</v>
      </c>
      <c r="M596" s="1" t="s">
        <v>36</v>
      </c>
    </row>
    <row r="597" spans="1:13" x14ac:dyDescent="0.3">
      <c r="A597" s="1" t="s">
        <v>972</v>
      </c>
      <c r="B597" s="1" t="s">
        <v>358</v>
      </c>
      <c r="C597" s="1" t="s">
        <v>145</v>
      </c>
      <c r="D597" s="1" t="s">
        <v>124</v>
      </c>
      <c r="E597" s="1" t="s">
        <v>40</v>
      </c>
      <c r="F597" s="1" t="s">
        <v>41</v>
      </c>
      <c r="G597" s="1" t="s">
        <v>42</v>
      </c>
      <c r="H597" s="1" t="s">
        <v>127</v>
      </c>
      <c r="I597" s="1" t="s">
        <v>44</v>
      </c>
      <c r="J597" s="1" t="s">
        <v>45</v>
      </c>
      <c r="K597" s="1" t="s">
        <v>20</v>
      </c>
      <c r="L597" s="1" t="s">
        <v>46</v>
      </c>
      <c r="M597" s="1" t="s">
        <v>36</v>
      </c>
    </row>
    <row r="598" spans="1:13" x14ac:dyDescent="0.3">
      <c r="A598" s="1" t="s">
        <v>973</v>
      </c>
      <c r="B598" s="1" t="s">
        <v>571</v>
      </c>
      <c r="C598" s="1" t="s">
        <v>197</v>
      </c>
      <c r="D598" s="1" t="s">
        <v>59</v>
      </c>
      <c r="E598" s="1" t="s">
        <v>106</v>
      </c>
      <c r="F598" s="1" t="s">
        <v>107</v>
      </c>
      <c r="G598" s="1" t="s">
        <v>31</v>
      </c>
      <c r="H598" s="1" t="s">
        <v>85</v>
      </c>
      <c r="I598" s="1" t="s">
        <v>34</v>
      </c>
      <c r="J598" s="1" t="s">
        <v>108</v>
      </c>
      <c r="K598" s="1" t="s">
        <v>35</v>
      </c>
      <c r="L598" s="1" t="s">
        <v>23</v>
      </c>
      <c r="M598" s="1" t="s">
        <v>36</v>
      </c>
    </row>
    <row r="599" spans="1:13" x14ac:dyDescent="0.3">
      <c r="A599" s="1" t="s">
        <v>974</v>
      </c>
      <c r="B599" s="1" t="s">
        <v>269</v>
      </c>
      <c r="C599" s="1" t="s">
        <v>88</v>
      </c>
      <c r="D599" s="1" t="s">
        <v>28</v>
      </c>
      <c r="E599" s="1" t="s">
        <v>72</v>
      </c>
      <c r="F599" s="1" t="s">
        <v>73</v>
      </c>
      <c r="G599" s="1" t="s">
        <v>74</v>
      </c>
      <c r="H599" s="1" t="s">
        <v>66</v>
      </c>
      <c r="I599" s="1" t="s">
        <v>75</v>
      </c>
      <c r="J599" s="1" t="s">
        <v>76</v>
      </c>
      <c r="K599" s="1" t="s">
        <v>35</v>
      </c>
      <c r="L599" s="1" t="s">
        <v>46</v>
      </c>
      <c r="M599" s="1" t="s">
        <v>36</v>
      </c>
    </row>
    <row r="600" spans="1:13" x14ac:dyDescent="0.3">
      <c r="A600" s="1" t="s">
        <v>975</v>
      </c>
      <c r="B600" s="1" t="s">
        <v>386</v>
      </c>
      <c r="C600" s="1" t="s">
        <v>302</v>
      </c>
      <c r="D600" s="1" t="s">
        <v>59</v>
      </c>
      <c r="E600" s="1" t="s">
        <v>29</v>
      </c>
      <c r="F600" s="1" t="s">
        <v>30</v>
      </c>
      <c r="G600" s="1" t="s">
        <v>31</v>
      </c>
      <c r="H600" s="1" t="s">
        <v>53</v>
      </c>
      <c r="I600" s="1" t="s">
        <v>33</v>
      </c>
      <c r="J600" s="1" t="s">
        <v>34</v>
      </c>
      <c r="K600" s="1" t="s">
        <v>60</v>
      </c>
      <c r="L600" s="1" t="s">
        <v>46</v>
      </c>
      <c r="M600" s="1" t="s">
        <v>36</v>
      </c>
    </row>
    <row r="601" spans="1:13" x14ac:dyDescent="0.3">
      <c r="A601" s="1" t="s">
        <v>976</v>
      </c>
      <c r="B601" s="1" t="s">
        <v>95</v>
      </c>
      <c r="C601" s="1" t="s">
        <v>152</v>
      </c>
      <c r="D601" s="1" t="s">
        <v>124</v>
      </c>
      <c r="E601" s="1" t="s">
        <v>89</v>
      </c>
      <c r="F601" s="1" t="s">
        <v>90</v>
      </c>
      <c r="G601" s="1" t="s">
        <v>74</v>
      </c>
      <c r="H601" s="1" t="s">
        <v>127</v>
      </c>
      <c r="I601" s="1" t="s">
        <v>92</v>
      </c>
      <c r="J601" s="1" t="s">
        <v>93</v>
      </c>
      <c r="K601" s="1" t="s">
        <v>35</v>
      </c>
      <c r="L601" s="1" t="s">
        <v>23</v>
      </c>
      <c r="M601" s="1" t="s">
        <v>36</v>
      </c>
    </row>
    <row r="602" spans="1:13" x14ac:dyDescent="0.3">
      <c r="A602" s="1" t="s">
        <v>128</v>
      </c>
      <c r="B602" s="1" t="s">
        <v>129</v>
      </c>
      <c r="C602" s="1" t="s">
        <v>63</v>
      </c>
      <c r="D602" s="1" t="s">
        <v>50</v>
      </c>
      <c r="E602" s="1" t="s">
        <v>29</v>
      </c>
      <c r="F602" s="1" t="s">
        <v>30</v>
      </c>
      <c r="G602" s="1" t="s">
        <v>31</v>
      </c>
      <c r="H602" s="1" t="s">
        <v>66</v>
      </c>
      <c r="I602" s="1" t="s">
        <v>33</v>
      </c>
      <c r="J602" s="1" t="s">
        <v>34</v>
      </c>
      <c r="K602" s="1" t="s">
        <v>114</v>
      </c>
      <c r="L602" s="1" t="s">
        <v>46</v>
      </c>
      <c r="M602" s="1" t="s">
        <v>36</v>
      </c>
    </row>
    <row r="603" spans="1:13" x14ac:dyDescent="0.3">
      <c r="A603" s="1" t="s">
        <v>164</v>
      </c>
      <c r="B603" s="1" t="s">
        <v>165</v>
      </c>
      <c r="C603" s="1" t="s">
        <v>166</v>
      </c>
      <c r="D603" s="1" t="s">
        <v>28</v>
      </c>
      <c r="E603" s="1" t="s">
        <v>106</v>
      </c>
      <c r="F603" s="1" t="s">
        <v>107</v>
      </c>
      <c r="G603" s="1" t="s">
        <v>31</v>
      </c>
      <c r="H603" s="1" t="s">
        <v>149</v>
      </c>
      <c r="I603" s="1" t="s">
        <v>34</v>
      </c>
      <c r="J603" s="1" t="s">
        <v>108</v>
      </c>
      <c r="K603" s="1" t="s">
        <v>20</v>
      </c>
      <c r="L603" s="1" t="s">
        <v>23</v>
      </c>
      <c r="M603" s="1" t="s">
        <v>36</v>
      </c>
    </row>
    <row r="604" spans="1:13" x14ac:dyDescent="0.3">
      <c r="A604" s="1" t="s">
        <v>200</v>
      </c>
      <c r="B604" s="1" t="s">
        <v>201</v>
      </c>
      <c r="C604" s="1" t="s">
        <v>202</v>
      </c>
      <c r="D604" s="1" t="s">
        <v>50</v>
      </c>
      <c r="E604" s="1" t="s">
        <v>17</v>
      </c>
      <c r="F604" s="1" t="s">
        <v>18</v>
      </c>
      <c r="G604" s="1" t="s">
        <v>74</v>
      </c>
      <c r="H604" s="1" t="s">
        <v>149</v>
      </c>
      <c r="I604" s="1" t="s">
        <v>80</v>
      </c>
      <c r="J604" s="1" t="s">
        <v>81</v>
      </c>
      <c r="K604" s="1" t="s">
        <v>20</v>
      </c>
      <c r="L604" s="1" t="s">
        <v>23</v>
      </c>
      <c r="M604" s="1" t="s">
        <v>36</v>
      </c>
    </row>
    <row r="605" spans="1:13" x14ac:dyDescent="0.3">
      <c r="A605" s="1" t="s">
        <v>234</v>
      </c>
      <c r="B605" s="1" t="s">
        <v>122</v>
      </c>
      <c r="C605" s="1" t="s">
        <v>235</v>
      </c>
      <c r="D605" s="1" t="s">
        <v>28</v>
      </c>
      <c r="E605" s="1" t="s">
        <v>40</v>
      </c>
      <c r="F605" s="1" t="s">
        <v>41</v>
      </c>
      <c r="G605" s="1" t="s">
        <v>42</v>
      </c>
      <c r="H605" s="1" t="s">
        <v>85</v>
      </c>
      <c r="I605" s="1" t="s">
        <v>44</v>
      </c>
      <c r="J605" s="1" t="s">
        <v>45</v>
      </c>
      <c r="K605" s="1" t="s">
        <v>35</v>
      </c>
      <c r="L605" s="1" t="s">
        <v>23</v>
      </c>
      <c r="M605" s="1" t="s">
        <v>36</v>
      </c>
    </row>
    <row r="606" spans="1:13" x14ac:dyDescent="0.3">
      <c r="A606" s="1" t="s">
        <v>261</v>
      </c>
      <c r="B606" s="1" t="s">
        <v>262</v>
      </c>
      <c r="C606" s="1" t="s">
        <v>263</v>
      </c>
      <c r="D606" s="1" t="s">
        <v>124</v>
      </c>
      <c r="E606" s="1" t="s">
        <v>64</v>
      </c>
      <c r="F606" s="1" t="s">
        <v>65</v>
      </c>
      <c r="G606" s="1" t="s">
        <v>42</v>
      </c>
      <c r="H606" s="1" t="s">
        <v>32</v>
      </c>
      <c r="I606" s="1" t="s">
        <v>67</v>
      </c>
      <c r="J606" s="1" t="s">
        <v>68</v>
      </c>
      <c r="K606" s="1" t="s">
        <v>60</v>
      </c>
      <c r="L606" s="1" t="s">
        <v>46</v>
      </c>
      <c r="M606" s="1" t="s">
        <v>36</v>
      </c>
    </row>
    <row r="607" spans="1:13" x14ac:dyDescent="0.3">
      <c r="A607" s="1" t="s">
        <v>290</v>
      </c>
      <c r="B607" s="1" t="s">
        <v>181</v>
      </c>
      <c r="C607" s="1" t="s">
        <v>63</v>
      </c>
      <c r="D607" s="1" t="s">
        <v>50</v>
      </c>
      <c r="E607" s="1" t="s">
        <v>29</v>
      </c>
      <c r="F607" s="1" t="s">
        <v>30</v>
      </c>
      <c r="G607" s="1" t="s">
        <v>31</v>
      </c>
      <c r="H607" s="1" t="s">
        <v>53</v>
      </c>
      <c r="I607" s="1" t="s">
        <v>33</v>
      </c>
      <c r="J607" s="1" t="s">
        <v>34</v>
      </c>
      <c r="K607" s="1" t="s">
        <v>20</v>
      </c>
      <c r="L607" s="1" t="s">
        <v>23</v>
      </c>
      <c r="M607" s="1" t="s">
        <v>36</v>
      </c>
    </row>
    <row r="608" spans="1:13" x14ac:dyDescent="0.3">
      <c r="A608" s="1" t="s">
        <v>319</v>
      </c>
      <c r="B608" s="1" t="s">
        <v>204</v>
      </c>
      <c r="C608" s="1" t="s">
        <v>320</v>
      </c>
      <c r="D608" s="1" t="s">
        <v>124</v>
      </c>
      <c r="E608" s="1" t="s">
        <v>64</v>
      </c>
      <c r="F608" s="1" t="s">
        <v>65</v>
      </c>
      <c r="G608" s="1" t="s">
        <v>42</v>
      </c>
      <c r="H608" s="1" t="s">
        <v>32</v>
      </c>
      <c r="I608" s="1" t="s">
        <v>67</v>
      </c>
      <c r="J608" s="1" t="s">
        <v>68</v>
      </c>
      <c r="K608" s="1" t="s">
        <v>20</v>
      </c>
      <c r="L608" s="1" t="s">
        <v>23</v>
      </c>
      <c r="M608" s="1" t="s">
        <v>36</v>
      </c>
    </row>
    <row r="609" spans="1:13" x14ac:dyDescent="0.3">
      <c r="A609" s="1" t="s">
        <v>343</v>
      </c>
      <c r="B609" s="1" t="s">
        <v>344</v>
      </c>
      <c r="C609" s="1" t="s">
        <v>345</v>
      </c>
      <c r="D609" s="1" t="s">
        <v>124</v>
      </c>
      <c r="E609" s="1" t="s">
        <v>40</v>
      </c>
      <c r="F609" s="1" t="s">
        <v>41</v>
      </c>
      <c r="G609" s="1" t="s">
        <v>42</v>
      </c>
      <c r="H609" s="1" t="s">
        <v>43</v>
      </c>
      <c r="I609" s="1" t="s">
        <v>44</v>
      </c>
      <c r="J609" s="1" t="s">
        <v>45</v>
      </c>
      <c r="K609" s="1" t="s">
        <v>20</v>
      </c>
      <c r="L609" s="1" t="s">
        <v>46</v>
      </c>
      <c r="M609" s="1" t="s">
        <v>36</v>
      </c>
    </row>
    <row r="610" spans="1:13" x14ac:dyDescent="0.3">
      <c r="A610" s="1" t="s">
        <v>369</v>
      </c>
      <c r="B610" s="1" t="s">
        <v>370</v>
      </c>
      <c r="C610" s="1" t="s">
        <v>371</v>
      </c>
      <c r="D610" s="1" t="s">
        <v>28</v>
      </c>
      <c r="E610" s="1" t="s">
        <v>72</v>
      </c>
      <c r="F610" s="1" t="s">
        <v>73</v>
      </c>
      <c r="G610" s="1" t="s">
        <v>74</v>
      </c>
      <c r="H610" s="1" t="s">
        <v>149</v>
      </c>
      <c r="I610" s="1" t="s">
        <v>75</v>
      </c>
      <c r="J610" s="1" t="s">
        <v>76</v>
      </c>
      <c r="K610" s="1" t="s">
        <v>60</v>
      </c>
      <c r="L610" s="1" t="s">
        <v>23</v>
      </c>
      <c r="M610" s="1" t="s">
        <v>36</v>
      </c>
    </row>
    <row r="611" spans="1:13" x14ac:dyDescent="0.3">
      <c r="A611" s="1" t="s">
        <v>391</v>
      </c>
      <c r="B611" s="1" t="s">
        <v>392</v>
      </c>
      <c r="C611" s="1" t="s">
        <v>166</v>
      </c>
      <c r="D611" s="1" t="s">
        <v>59</v>
      </c>
      <c r="E611" s="1" t="s">
        <v>64</v>
      </c>
      <c r="F611" s="1" t="s">
        <v>65</v>
      </c>
      <c r="G611" s="1" t="s">
        <v>42</v>
      </c>
      <c r="H611" s="1" t="s">
        <v>85</v>
      </c>
      <c r="I611" s="1" t="s">
        <v>67</v>
      </c>
      <c r="J611" s="1" t="s">
        <v>68</v>
      </c>
      <c r="K611" s="1" t="s">
        <v>20</v>
      </c>
      <c r="L611" s="1" t="s">
        <v>46</v>
      </c>
      <c r="M611" s="1" t="s">
        <v>36</v>
      </c>
    </row>
    <row r="612" spans="1:13" x14ac:dyDescent="0.3">
      <c r="A612" s="1" t="s">
        <v>414</v>
      </c>
      <c r="B612" s="1" t="s">
        <v>165</v>
      </c>
      <c r="C612" s="1" t="s">
        <v>191</v>
      </c>
      <c r="D612" s="1" t="s">
        <v>50</v>
      </c>
      <c r="E612" s="1" t="s">
        <v>29</v>
      </c>
      <c r="F612" s="1" t="s">
        <v>30</v>
      </c>
      <c r="G612" s="1" t="s">
        <v>31</v>
      </c>
      <c r="H612" s="1" t="s">
        <v>32</v>
      </c>
      <c r="I612" s="1" t="s">
        <v>33</v>
      </c>
      <c r="J612" s="1" t="s">
        <v>34</v>
      </c>
      <c r="K612" s="1" t="s">
        <v>60</v>
      </c>
      <c r="L612" s="1" t="s">
        <v>46</v>
      </c>
      <c r="M612" s="1" t="s">
        <v>36</v>
      </c>
    </row>
    <row r="613" spans="1:13" x14ac:dyDescent="0.3">
      <c r="A613" s="1" t="s">
        <v>437</v>
      </c>
      <c r="B613" s="1" t="s">
        <v>438</v>
      </c>
      <c r="C613" s="1" t="s">
        <v>371</v>
      </c>
      <c r="D613" s="1" t="s">
        <v>124</v>
      </c>
      <c r="E613" s="1" t="s">
        <v>72</v>
      </c>
      <c r="F613" s="1" t="s">
        <v>73</v>
      </c>
      <c r="G613" s="1" t="s">
        <v>74</v>
      </c>
      <c r="H613" s="1" t="s">
        <v>85</v>
      </c>
      <c r="I613" s="1" t="s">
        <v>75</v>
      </c>
      <c r="J613" s="1" t="s">
        <v>76</v>
      </c>
      <c r="K613" s="1" t="s">
        <v>114</v>
      </c>
      <c r="L613" s="1" t="s">
        <v>46</v>
      </c>
      <c r="M613" s="1" t="s">
        <v>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37718-DD8E-4D5C-8EF8-E0AC51E84BA2}">
  <dimension ref="A3:C4"/>
  <sheetViews>
    <sheetView workbookViewId="0">
      <selection activeCell="I24" sqref="I24"/>
    </sheetView>
  </sheetViews>
  <sheetFormatPr defaultRowHeight="14.4" x14ac:dyDescent="0.3"/>
  <cols>
    <col min="1" max="1" width="19.5546875" bestFit="1" customWidth="1"/>
    <col min="2" max="2" width="22.5546875" bestFit="1" customWidth="1"/>
    <col min="3" max="3" width="16.44140625" bestFit="1" customWidth="1"/>
  </cols>
  <sheetData>
    <row r="3" spans="1:3" x14ac:dyDescent="0.3">
      <c r="A3" t="s">
        <v>989</v>
      </c>
      <c r="B3" t="s">
        <v>985</v>
      </c>
      <c r="C3" t="s">
        <v>996</v>
      </c>
    </row>
    <row r="4" spans="1:3" x14ac:dyDescent="0.3">
      <c r="A4" s="1">
        <v>726875.5</v>
      </c>
      <c r="B4" s="1">
        <v>170378.5</v>
      </c>
      <c r="C4" s="1">
        <v>562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B422-1FAE-4ADC-A23B-05F8B9CD63A9}">
  <dimension ref="A3:B12"/>
  <sheetViews>
    <sheetView workbookViewId="0">
      <selection activeCell="I24" sqref="I24"/>
    </sheetView>
  </sheetViews>
  <sheetFormatPr defaultRowHeight="14.4" x14ac:dyDescent="0.3"/>
  <cols>
    <col min="1" max="1" width="12.5546875" bestFit="1" customWidth="1"/>
    <col min="2" max="2" width="19.5546875" bestFit="1" customWidth="1"/>
  </cols>
  <sheetData>
    <row r="3" spans="1:2" x14ac:dyDescent="0.3">
      <c r="A3" s="3" t="s">
        <v>983</v>
      </c>
      <c r="B3" t="s">
        <v>989</v>
      </c>
    </row>
    <row r="4" spans="1:2" x14ac:dyDescent="0.3">
      <c r="A4" s="4" t="s">
        <v>41</v>
      </c>
      <c r="B4" s="1">
        <v>325687.5</v>
      </c>
    </row>
    <row r="5" spans="1:2" x14ac:dyDescent="0.3">
      <c r="A5" s="4" t="s">
        <v>65</v>
      </c>
      <c r="B5" s="1">
        <v>125388</v>
      </c>
    </row>
    <row r="6" spans="1:2" x14ac:dyDescent="0.3">
      <c r="A6" s="4" t="s">
        <v>52</v>
      </c>
      <c r="B6" s="1">
        <v>93201.5</v>
      </c>
    </row>
    <row r="7" spans="1:2" x14ac:dyDescent="0.3">
      <c r="A7" s="4" t="s">
        <v>30</v>
      </c>
      <c r="B7" s="1">
        <v>78204</v>
      </c>
    </row>
    <row r="8" spans="1:2" x14ac:dyDescent="0.3">
      <c r="A8" s="4" t="s">
        <v>107</v>
      </c>
      <c r="B8" s="1">
        <v>52934</v>
      </c>
    </row>
    <row r="9" spans="1:2" x14ac:dyDescent="0.3">
      <c r="A9" s="4" t="s">
        <v>90</v>
      </c>
      <c r="B9" s="1">
        <v>26749.5</v>
      </c>
    </row>
    <row r="10" spans="1:2" x14ac:dyDescent="0.3">
      <c r="A10" s="4" t="s">
        <v>73</v>
      </c>
      <c r="B10" s="1">
        <v>16406</v>
      </c>
    </row>
    <row r="11" spans="1:2" x14ac:dyDescent="0.3">
      <c r="A11" s="4" t="s">
        <v>18</v>
      </c>
      <c r="B11" s="1">
        <v>8305</v>
      </c>
    </row>
    <row r="12" spans="1:2" x14ac:dyDescent="0.3">
      <c r="A12" s="4" t="s">
        <v>984</v>
      </c>
      <c r="B12" s="1">
        <v>726875.5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2540-3EEA-4C56-A01D-F6A8A536A7B5}">
  <dimension ref="A3:B10"/>
  <sheetViews>
    <sheetView workbookViewId="0">
      <selection activeCell="I24" sqref="I24"/>
    </sheetView>
  </sheetViews>
  <sheetFormatPr defaultRowHeight="14.4" x14ac:dyDescent="0.3"/>
  <cols>
    <col min="1" max="1" width="12.5546875" bestFit="1" customWidth="1"/>
    <col min="2" max="2" width="19.5546875" bestFit="1" customWidth="1"/>
    <col min="3" max="10" width="8.77734375" bestFit="1" customWidth="1"/>
    <col min="11" max="31" width="9.77734375" bestFit="1" customWidth="1"/>
    <col min="32" max="39" width="8.77734375" bestFit="1" customWidth="1"/>
    <col min="40" max="40" width="9" bestFit="1" customWidth="1"/>
    <col min="41" max="58" width="9.77734375" bestFit="1" customWidth="1"/>
    <col min="59" max="67" width="8.77734375" bestFit="1" customWidth="1"/>
    <col min="68" max="88" width="9.77734375" bestFit="1" customWidth="1"/>
    <col min="89" max="97" width="8.77734375" bestFit="1" customWidth="1"/>
    <col min="98" max="117" width="9.77734375" bestFit="1" customWidth="1"/>
    <col min="118" max="126" width="8.77734375" bestFit="1" customWidth="1"/>
    <col min="127" max="147" width="9.77734375" bestFit="1" customWidth="1"/>
    <col min="148" max="156" width="8.77734375" bestFit="1" customWidth="1"/>
    <col min="157" max="177" width="9.77734375" bestFit="1" customWidth="1"/>
    <col min="178" max="178" width="10.77734375" bestFit="1" customWidth="1"/>
    <col min="179" max="352" width="22.5546875" bestFit="1" customWidth="1"/>
    <col min="353" max="353" width="27.33203125" bestFit="1" customWidth="1"/>
    <col min="354" max="354" width="21.33203125" bestFit="1" customWidth="1"/>
    <col min="355" max="528" width="22.5546875" bestFit="1" customWidth="1"/>
    <col min="529" max="529" width="24.33203125" bestFit="1" customWidth="1"/>
    <col min="530" max="530" width="27.33203125" bestFit="1" customWidth="1"/>
    <col min="531" max="531" width="21.33203125" bestFit="1" customWidth="1"/>
  </cols>
  <sheetData>
    <row r="3" spans="1:2" x14ac:dyDescent="0.3">
      <c r="A3" s="3" t="s">
        <v>983</v>
      </c>
      <c r="B3" t="s">
        <v>989</v>
      </c>
    </row>
    <row r="4" spans="1:2" x14ac:dyDescent="0.3">
      <c r="A4" s="4">
        <v>1</v>
      </c>
      <c r="B4" s="1">
        <v>118635.25</v>
      </c>
    </row>
    <row r="5" spans="1:2" x14ac:dyDescent="0.3">
      <c r="A5" s="4">
        <v>2</v>
      </c>
      <c r="B5" s="1">
        <v>108921.5</v>
      </c>
    </row>
    <row r="6" spans="1:2" x14ac:dyDescent="0.3">
      <c r="A6" s="4">
        <v>3</v>
      </c>
      <c r="B6" s="1">
        <v>121816.25</v>
      </c>
    </row>
    <row r="7" spans="1:2" x14ac:dyDescent="0.3">
      <c r="A7" s="4">
        <v>4</v>
      </c>
      <c r="B7" s="1">
        <v>144538.25</v>
      </c>
    </row>
    <row r="8" spans="1:2" x14ac:dyDescent="0.3">
      <c r="A8" s="4">
        <v>5</v>
      </c>
      <c r="B8" s="1">
        <v>131003.5</v>
      </c>
    </row>
    <row r="9" spans="1:2" x14ac:dyDescent="0.3">
      <c r="A9" s="4">
        <v>6</v>
      </c>
      <c r="B9" s="1">
        <v>101960.75</v>
      </c>
    </row>
    <row r="10" spans="1:2" x14ac:dyDescent="0.3">
      <c r="A10" s="4" t="s">
        <v>984</v>
      </c>
      <c r="B10" s="1">
        <v>726875.5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C893F-D4FD-456C-8A83-F0E673E2FC4F}">
  <sheetPr>
    <pageSetUpPr fitToPage="1"/>
  </sheetPr>
  <dimension ref="A1:J5"/>
  <sheetViews>
    <sheetView showGridLines="0" tabSelected="1" topLeftCell="A6" zoomScale="99" zoomScaleNormal="99" workbookViewId="0">
      <selection activeCell="T17" sqref="T16:T17"/>
    </sheetView>
  </sheetViews>
  <sheetFormatPr defaultRowHeight="14.4" x14ac:dyDescent="0.3"/>
  <cols>
    <col min="1" max="1" width="15.33203125" bestFit="1" customWidth="1"/>
    <col min="4" max="4" width="15.33203125" bestFit="1" customWidth="1"/>
    <col min="7" max="7" width="10.44140625" bestFit="1" customWidth="1"/>
  </cols>
  <sheetData>
    <row r="1" spans="1:10" ht="25.8" x14ac:dyDescent="0.5">
      <c r="A1" s="11" t="s">
        <v>990</v>
      </c>
    </row>
    <row r="2" spans="1:10" x14ac:dyDescent="0.3">
      <c r="A2" t="s">
        <v>991</v>
      </c>
    </row>
    <row r="4" spans="1:10" ht="25.8" x14ac:dyDescent="0.5">
      <c r="A4" s="11" t="s">
        <v>992</v>
      </c>
      <c r="D4" s="11" t="s">
        <v>993</v>
      </c>
      <c r="G4" s="11" t="s">
        <v>994</v>
      </c>
      <c r="J4" s="11" t="s">
        <v>995</v>
      </c>
    </row>
    <row r="5" spans="1:10" ht="21" x14ac:dyDescent="0.4">
      <c r="A5" s="13">
        <f>GETPIVOTDATA("[Measures].[Sum of Revenue_AZN]",KPI_Summary!$A$3)</f>
        <v>726875.5</v>
      </c>
      <c r="B5" s="10"/>
      <c r="C5" s="10"/>
      <c r="D5" s="13">
        <f>GETPIVOTDATA("[Measures].[Sum of Gross_Profit_AZN]",KPI_Summary!$A$3)</f>
        <v>170378.5</v>
      </c>
      <c r="G5" s="14">
        <f>D5/A5</f>
        <v>0.23439846301051556</v>
      </c>
      <c r="J5" s="12">
        <f>GETPIVOTDATA("[Measures].[Count of Order_ID]",KPI_Summary!$A$3)</f>
        <v>562</v>
      </c>
    </row>
  </sheetData>
  <pageMargins left="0.25" right="0.25" top="0.75" bottom="0.75" header="0.3" footer="0.3"/>
  <pageSetup paperSize="9" scale="78" orientation="landscape"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E53C2-157A-4319-ADCD-D6630C83DCD2}">
  <dimension ref="A1:G18"/>
  <sheetViews>
    <sheetView workbookViewId="0">
      <selection activeCell="C6" sqref="C6"/>
    </sheetView>
  </sheetViews>
  <sheetFormatPr defaultRowHeight="14.4" x14ac:dyDescent="0.3"/>
  <cols>
    <col min="1" max="1" width="38.33203125" customWidth="1"/>
    <col min="2" max="2" width="46.33203125" style="8" customWidth="1"/>
    <col min="3" max="3" width="41.109375" customWidth="1"/>
    <col min="4" max="4" width="44" customWidth="1"/>
    <col min="5" max="5" width="8.88671875" customWidth="1"/>
  </cols>
  <sheetData>
    <row r="1" spans="1:7" s="26" customFormat="1" ht="23.4" x14ac:dyDescent="0.3">
      <c r="A1" s="24" t="s">
        <v>999</v>
      </c>
      <c r="B1" s="25" t="s">
        <v>1000</v>
      </c>
      <c r="C1" s="24" t="s">
        <v>1001</v>
      </c>
      <c r="D1" s="24" t="s">
        <v>1002</v>
      </c>
    </row>
    <row r="2" spans="1:7" ht="244.8" x14ac:dyDescent="0.3">
      <c r="A2" s="19" t="s">
        <v>997</v>
      </c>
      <c r="B2" s="19" t="s">
        <v>1004</v>
      </c>
      <c r="C2" s="19" t="s">
        <v>998</v>
      </c>
      <c r="D2" s="19" t="s">
        <v>1003</v>
      </c>
      <c r="E2" s="9"/>
      <c r="F2" s="9"/>
      <c r="G2" s="9"/>
    </row>
    <row r="3" spans="1:7" x14ac:dyDescent="0.3">
      <c r="B3" s="17"/>
    </row>
    <row r="4" spans="1:7" x14ac:dyDescent="0.3">
      <c r="B4" s="17"/>
    </row>
    <row r="5" spans="1:7" x14ac:dyDescent="0.3">
      <c r="B5" s="17"/>
    </row>
    <row r="6" spans="1:7" x14ac:dyDescent="0.3">
      <c r="B6" s="17"/>
    </row>
    <row r="7" spans="1:7" x14ac:dyDescent="0.3">
      <c r="B7" s="17"/>
    </row>
    <row r="8" spans="1:7" x14ac:dyDescent="0.3">
      <c r="B8" s="17"/>
    </row>
    <row r="9" spans="1:7" x14ac:dyDescent="0.3">
      <c r="B9" s="17"/>
    </row>
    <row r="10" spans="1:7" x14ac:dyDescent="0.3">
      <c r="B10" s="17"/>
    </row>
    <row r="11" spans="1:7" x14ac:dyDescent="0.3">
      <c r="B11" s="17"/>
    </row>
    <row r="12" spans="1:7" x14ac:dyDescent="0.3">
      <c r="B12" s="17"/>
    </row>
    <row r="13" spans="1:7" x14ac:dyDescent="0.3">
      <c r="B13" s="17"/>
    </row>
    <row r="14" spans="1:7" x14ac:dyDescent="0.3">
      <c r="B14" s="17"/>
    </row>
    <row r="15" spans="1:7" x14ac:dyDescent="0.3">
      <c r="B15" s="17"/>
    </row>
    <row r="16" spans="1:7" x14ac:dyDescent="0.3">
      <c r="B16" s="17"/>
    </row>
    <row r="17" spans="2:2" x14ac:dyDescent="0.3">
      <c r="B17" s="17"/>
    </row>
    <row r="18" spans="2:2" x14ac:dyDescent="0.3">
      <c r="B18" s="17"/>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E5196-2F0F-4BB3-B5BB-E2A34A5D9A5D}">
  <dimension ref="A1:A9"/>
  <sheetViews>
    <sheetView workbookViewId="0">
      <selection activeCell="I24" sqref="I24"/>
    </sheetView>
  </sheetViews>
  <sheetFormatPr defaultRowHeight="14.4" x14ac:dyDescent="0.3"/>
  <cols>
    <col min="1" max="1" width="61.77734375" customWidth="1"/>
    <col min="2" max="2" width="8.88671875" customWidth="1"/>
  </cols>
  <sheetData>
    <row r="1" spans="1:1" ht="216" x14ac:dyDescent="0.3">
      <c r="A1" s="20" t="s">
        <v>1005</v>
      </c>
    </row>
    <row r="2" spans="1:1" x14ac:dyDescent="0.3">
      <c r="A2" s="15"/>
    </row>
    <row r="3" spans="1:1" x14ac:dyDescent="0.3">
      <c r="A3" s="15"/>
    </row>
    <row r="4" spans="1:1" x14ac:dyDescent="0.3">
      <c r="A4" s="15"/>
    </row>
    <row r="5" spans="1:1" x14ac:dyDescent="0.3">
      <c r="A5" s="15"/>
    </row>
    <row r="6" spans="1:1" x14ac:dyDescent="0.3">
      <c r="A6" s="15"/>
    </row>
    <row r="7" spans="1:1" x14ac:dyDescent="0.3">
      <c r="A7" s="15"/>
    </row>
    <row r="8" spans="1:1" x14ac:dyDescent="0.3">
      <c r="A8" s="15"/>
    </row>
    <row r="9" spans="1:1" x14ac:dyDescent="0.3">
      <c r="A9"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12DC0-BF2C-4690-8EF2-3BEB34665B9E}">
  <dimension ref="A1"/>
  <sheetViews>
    <sheetView workbookViewId="0">
      <selection activeCell="A2" sqref="A2"/>
    </sheetView>
  </sheetViews>
  <sheetFormatPr defaultRowHeight="14.4" x14ac:dyDescent="0.3"/>
  <cols>
    <col min="1" max="1" width="56" customWidth="1"/>
  </cols>
  <sheetData>
    <row r="1" spans="1:1" ht="158.4" x14ac:dyDescent="0.3">
      <c r="A1" s="21" t="s">
        <v>1006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F40AC-2CE3-4F10-951C-4B0506903650}">
  <dimension ref="A1:C16"/>
  <sheetViews>
    <sheetView topLeftCell="A12" workbookViewId="0">
      <selection activeCell="F13" sqref="F13"/>
    </sheetView>
  </sheetViews>
  <sheetFormatPr defaultRowHeight="14.4" x14ac:dyDescent="0.3"/>
  <cols>
    <col min="1" max="1" width="15.109375" customWidth="1"/>
    <col min="2" max="2" width="17.44140625" style="23" customWidth="1"/>
    <col min="3" max="3" width="15.109375" customWidth="1"/>
  </cols>
  <sheetData>
    <row r="1" spans="1:3" x14ac:dyDescent="0.3">
      <c r="A1" s="22" t="s">
        <v>1007</v>
      </c>
      <c r="B1" s="22" t="s">
        <v>12</v>
      </c>
      <c r="C1" s="22" t="s">
        <v>1008</v>
      </c>
    </row>
    <row r="2" spans="1:3" ht="43.2" x14ac:dyDescent="0.3">
      <c r="A2" s="18" t="s">
        <v>1009</v>
      </c>
      <c r="B2" s="16" t="s">
        <v>1010</v>
      </c>
      <c r="C2" s="18" t="s">
        <v>1011</v>
      </c>
    </row>
    <row r="3" spans="1:3" ht="43.2" x14ac:dyDescent="0.3">
      <c r="A3" s="18" t="s">
        <v>1012</v>
      </c>
      <c r="B3" s="16" t="s">
        <v>1010</v>
      </c>
      <c r="C3" s="18" t="s">
        <v>1013</v>
      </c>
    </row>
    <row r="4" spans="1:3" ht="57.6" x14ac:dyDescent="0.3">
      <c r="A4" s="18" t="s">
        <v>1014</v>
      </c>
      <c r="B4" s="16" t="s">
        <v>1010</v>
      </c>
      <c r="C4" s="18" t="s">
        <v>1015</v>
      </c>
    </row>
    <row r="5" spans="1:3" ht="57.6" x14ac:dyDescent="0.3">
      <c r="A5" s="18" t="s">
        <v>1016</v>
      </c>
      <c r="B5" s="16" t="s">
        <v>1010</v>
      </c>
      <c r="C5" s="18" t="s">
        <v>1017</v>
      </c>
    </row>
    <row r="6" spans="1:3" ht="43.2" x14ac:dyDescent="0.3">
      <c r="A6" s="18" t="s">
        <v>1018</v>
      </c>
      <c r="B6" s="16" t="s">
        <v>1010</v>
      </c>
      <c r="C6" s="18" t="s">
        <v>1019</v>
      </c>
    </row>
    <row r="7" spans="1:3" ht="57.6" x14ac:dyDescent="0.3">
      <c r="A7" s="18" t="s">
        <v>1020</v>
      </c>
      <c r="B7" s="16" t="s">
        <v>1010</v>
      </c>
      <c r="C7" s="18" t="s">
        <v>1021</v>
      </c>
    </row>
    <row r="8" spans="1:3" ht="28.8" x14ac:dyDescent="0.3">
      <c r="A8" s="18" t="s">
        <v>1022</v>
      </c>
      <c r="B8" s="16" t="s">
        <v>1010</v>
      </c>
      <c r="C8" s="18" t="s">
        <v>1023</v>
      </c>
    </row>
    <row r="9" spans="1:3" ht="43.2" x14ac:dyDescent="0.3">
      <c r="A9" s="18" t="s">
        <v>1024</v>
      </c>
      <c r="B9" s="16" t="s">
        <v>1010</v>
      </c>
      <c r="C9" s="18" t="s">
        <v>1025</v>
      </c>
    </row>
    <row r="10" spans="1:3" ht="72" x14ac:dyDescent="0.3">
      <c r="A10" s="18" t="s">
        <v>1026</v>
      </c>
      <c r="B10" s="16" t="s">
        <v>1010</v>
      </c>
      <c r="C10" s="18" t="s">
        <v>1027</v>
      </c>
    </row>
    <row r="11" spans="1:3" ht="72" x14ac:dyDescent="0.3">
      <c r="A11" s="18" t="s">
        <v>1028</v>
      </c>
      <c r="B11" s="16" t="s">
        <v>1010</v>
      </c>
      <c r="C11" s="18" t="s">
        <v>1029</v>
      </c>
    </row>
    <row r="12" spans="1:3" ht="57.6" x14ac:dyDescent="0.3">
      <c r="A12" s="18" t="s">
        <v>1030</v>
      </c>
      <c r="B12" s="16" t="s">
        <v>1010</v>
      </c>
      <c r="C12" s="18" t="s">
        <v>1031</v>
      </c>
    </row>
    <row r="13" spans="1:3" ht="57.6" x14ac:dyDescent="0.3">
      <c r="A13" s="18" t="s">
        <v>1032</v>
      </c>
      <c r="B13" s="16" t="s">
        <v>1010</v>
      </c>
      <c r="C13" s="18" t="s">
        <v>1033</v>
      </c>
    </row>
    <row r="14" spans="1:3" ht="129.6" x14ac:dyDescent="0.3">
      <c r="A14" s="18" t="s">
        <v>1034</v>
      </c>
      <c r="B14" s="16" t="s">
        <v>1010</v>
      </c>
      <c r="C14" s="18" t="s">
        <v>1038</v>
      </c>
    </row>
    <row r="15" spans="1:3" ht="115.2" x14ac:dyDescent="0.3">
      <c r="A15" s="18" t="s">
        <v>1035</v>
      </c>
      <c r="B15" s="16" t="s">
        <v>1010</v>
      </c>
      <c r="C15" s="18" t="s">
        <v>1039</v>
      </c>
    </row>
    <row r="16" spans="1:3" ht="57.6" x14ac:dyDescent="0.3">
      <c r="A16" s="18" t="s">
        <v>1036</v>
      </c>
      <c r="B16" s="16" t="s">
        <v>1010</v>
      </c>
      <c r="C16" s="18" t="s">
        <v>1037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B72388-B9B0-4196-85E8-BC1323FFC4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QA_Zero_Quantity</vt:lpstr>
      <vt:lpstr>Sales_Analysis</vt:lpstr>
      <vt:lpstr>Clean_Sales</vt:lpstr>
      <vt:lpstr>Raw_Sales</vt:lpstr>
      <vt:lpstr>KPI_Summary</vt:lpstr>
      <vt:lpstr>Product_Summary</vt:lpstr>
      <vt:lpstr>Monthly_Summary</vt:lpstr>
      <vt:lpstr>Dashboard</vt:lpstr>
      <vt:lpstr>README</vt:lpstr>
      <vt:lpstr>Delivery_Message</vt:lpstr>
      <vt:lpstr>Proposal</vt:lpstr>
      <vt:lpstr>QA_Checklist</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Sevinc</dc:creator>
  <cp:lastModifiedBy>Sevinc</cp:lastModifiedBy>
  <cp:lastPrinted>2026-09-13T11:57:48Z</cp:lastPrinted>
  <dcterms:created xsi:type="dcterms:W3CDTF">2026-09-13T06:48:47Z</dcterms:created>
  <dcterms:modified xsi:type="dcterms:W3CDTF">2026-09-13T12:56:06Z</dcterms:modified>
</cp:coreProperties>
</file>